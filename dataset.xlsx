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donhathuy/Desktop/SUN/Du lieu mau/Dữ liệu full/"/>
    </mc:Choice>
  </mc:AlternateContent>
  <xr:revisionPtr revIDLastSave="0" documentId="13_ncr:1_{84C169FE-FC10-9A4F-B3B5-F5935E5D6FEB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Câu trả lời biểu mẫu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18" i="1" l="1"/>
  <c r="AA252" i="1"/>
  <c r="AA307" i="1"/>
  <c r="AA301" i="1"/>
  <c r="AA58" i="1"/>
  <c r="AA229" i="1"/>
  <c r="AA181" i="1"/>
  <c r="AA216" i="1"/>
  <c r="AA99" i="1"/>
  <c r="AA40" i="1"/>
  <c r="AA238" i="1"/>
  <c r="AA134" i="1"/>
  <c r="AA184" i="1"/>
  <c r="AA137" i="1"/>
  <c r="AA300" i="1"/>
  <c r="AA250" i="1"/>
  <c r="AA52" i="1"/>
  <c r="AA188" i="1"/>
  <c r="AA209" i="1"/>
  <c r="AA129" i="1"/>
  <c r="AA190" i="1"/>
  <c r="AA237" i="1"/>
  <c r="AA257" i="1"/>
  <c r="AA314" i="1"/>
  <c r="AA18" i="1"/>
  <c r="AA213" i="1"/>
  <c r="AA186" i="1"/>
  <c r="AA10" i="1"/>
  <c r="AA328" i="1"/>
  <c r="AA122" i="1"/>
  <c r="AA265" i="1"/>
  <c r="AA25" i="1"/>
  <c r="AA240" i="1"/>
  <c r="AA164" i="1"/>
  <c r="AA109" i="1"/>
  <c r="AA171" i="1"/>
  <c r="AA256" i="1"/>
  <c r="AA151" i="1"/>
  <c r="AA286" i="1"/>
  <c r="AA112" i="1"/>
  <c r="AA193" i="1"/>
  <c r="AA315" i="1"/>
  <c r="AA325" i="1"/>
  <c r="AA108" i="1"/>
  <c r="AA239" i="1"/>
  <c r="AA253" i="1"/>
  <c r="AA178" i="1"/>
  <c r="AA77" i="1"/>
  <c r="AA201" i="1"/>
  <c r="AA199" i="1"/>
  <c r="AA60" i="1"/>
  <c r="AA320" i="1"/>
  <c r="AA66" i="1"/>
  <c r="AA241" i="1"/>
  <c r="AA279" i="1"/>
  <c r="AA324" i="1"/>
  <c r="AA230" i="1"/>
  <c r="AA28" i="1"/>
  <c r="AA37" i="1"/>
  <c r="AA69" i="1"/>
  <c r="AA78" i="1"/>
  <c r="AA79" i="1"/>
  <c r="AA90" i="1"/>
  <c r="AA125" i="1"/>
  <c r="AA107" i="1"/>
  <c r="AA50" i="1"/>
  <c r="AA224" i="1"/>
  <c r="AA15" i="1"/>
  <c r="AA223" i="1"/>
  <c r="AA197" i="1"/>
  <c r="AA34" i="1"/>
  <c r="AA194" i="1"/>
  <c r="AA165" i="1"/>
  <c r="AA317" i="1"/>
  <c r="AA24" i="1"/>
  <c r="AA124" i="1"/>
  <c r="AA267" i="1"/>
  <c r="AA319" i="1"/>
  <c r="AA16" i="1"/>
  <c r="AA82" i="1"/>
  <c r="AA22" i="1"/>
  <c r="AA198" i="1"/>
  <c r="AA306" i="1"/>
  <c r="AA100" i="1"/>
  <c r="AA169" i="1"/>
  <c r="AA63" i="1"/>
  <c r="AA64" i="1"/>
  <c r="AA185" i="1"/>
  <c r="AA273" i="1"/>
  <c r="AA23" i="1"/>
  <c r="AA126" i="1"/>
  <c r="AA67" i="1"/>
  <c r="AA8" i="1"/>
  <c r="AA222" i="1"/>
  <c r="AA189" i="1"/>
  <c r="AA136" i="1"/>
  <c r="AA260" i="1"/>
  <c r="AA207" i="1"/>
  <c r="AA244" i="1"/>
  <c r="AA249" i="1"/>
  <c r="AA212" i="1"/>
  <c r="AA208" i="1"/>
  <c r="AA214" i="1"/>
  <c r="AA211" i="1"/>
  <c r="AA148" i="1"/>
  <c r="AA14" i="1"/>
  <c r="AA200" i="1"/>
  <c r="AA291" i="1"/>
  <c r="AA292" i="1"/>
  <c r="AA49" i="1"/>
  <c r="AA105" i="1"/>
  <c r="AA68" i="1"/>
  <c r="AA287" i="1"/>
  <c r="AA138" i="1"/>
  <c r="AA150" i="1"/>
  <c r="AA278" i="1"/>
  <c r="AA84" i="1"/>
  <c r="AA133" i="1"/>
  <c r="AA175" i="1"/>
  <c r="AA115" i="1"/>
  <c r="AA20" i="1"/>
  <c r="AA261" i="1"/>
  <c r="AA272" i="1"/>
  <c r="AA11" i="1"/>
  <c r="AA130" i="1"/>
  <c r="AA326" i="1"/>
  <c r="AA6" i="1"/>
  <c r="AA168" i="1"/>
  <c r="AA305" i="1"/>
  <c r="AA280" i="1"/>
  <c r="AA89" i="1"/>
  <c r="AA264" i="1"/>
  <c r="AA102" i="1"/>
  <c r="AA38" i="1"/>
  <c r="AA98" i="1"/>
  <c r="AA111" i="1"/>
  <c r="AA304" i="1"/>
  <c r="AA293" i="1"/>
  <c r="AA234" i="1"/>
  <c r="AA3" i="1"/>
  <c r="AA104" i="1"/>
  <c r="AA13" i="1"/>
  <c r="AA245" i="1"/>
  <c r="AA296" i="1"/>
  <c r="AA313" i="1"/>
  <c r="AA47" i="1"/>
  <c r="AA132" i="1"/>
  <c r="AA131" i="1"/>
  <c r="AA215" i="1"/>
  <c r="AA258" i="1"/>
  <c r="AA275" i="1"/>
  <c r="AA101" i="1"/>
  <c r="AA83" i="1"/>
  <c r="AA123" i="1"/>
  <c r="AA312" i="1"/>
  <c r="AA88" i="1"/>
  <c r="AA91" i="1"/>
  <c r="AA163" i="1"/>
  <c r="AA12" i="1"/>
  <c r="AA74" i="1"/>
  <c r="AA43" i="1"/>
  <c r="AA42" i="1"/>
  <c r="AA299" i="1"/>
  <c r="AA248" i="1"/>
  <c r="AA121" i="1"/>
  <c r="AA27" i="1"/>
  <c r="AA75" i="1"/>
  <c r="AA297" i="1"/>
  <c r="AA266" i="1"/>
  <c r="AA162" i="1"/>
  <c r="AA53" i="1"/>
  <c r="AA285" i="1"/>
  <c r="AA65" i="1"/>
  <c r="AA55" i="1"/>
  <c r="AA19" i="1"/>
  <c r="AA97" i="1"/>
  <c r="AA202" i="1"/>
  <c r="AA87" i="1"/>
  <c r="AA116" i="1"/>
  <c r="AA246" i="1"/>
  <c r="AA172" i="1"/>
  <c r="AA153" i="1"/>
  <c r="AA158" i="1"/>
  <c r="AA85" i="1"/>
  <c r="AA243" i="1"/>
  <c r="AA76" i="1"/>
  <c r="AA254" i="1"/>
  <c r="AA155" i="1"/>
  <c r="AA236" i="1"/>
  <c r="AA46" i="1"/>
  <c r="AA7" i="1"/>
  <c r="AA290" i="1"/>
  <c r="AA284" i="1"/>
  <c r="AA191" i="1"/>
  <c r="AA45" i="1"/>
  <c r="AA233" i="1"/>
  <c r="AA206" i="1"/>
  <c r="AA294" i="1"/>
  <c r="AA295" i="1"/>
  <c r="AA159" i="1"/>
  <c r="AA195" i="1"/>
  <c r="AA140" i="1"/>
  <c r="AA4" i="1"/>
  <c r="AA302" i="1"/>
  <c r="AA93" i="1"/>
  <c r="AA36" i="1"/>
  <c r="AA44" i="1"/>
  <c r="AA143" i="1"/>
  <c r="AA225" i="1"/>
  <c r="AA9" i="1"/>
  <c r="AA117" i="1"/>
  <c r="AA219" i="1"/>
  <c r="AA227" i="1"/>
  <c r="AA221" i="1"/>
  <c r="AA161" i="1"/>
  <c r="AA2" i="1"/>
  <c r="AA30" i="1"/>
  <c r="AA106" i="1"/>
  <c r="AA21" i="1"/>
  <c r="AA329" i="1"/>
  <c r="AA170" i="1"/>
  <c r="AA51" i="1"/>
  <c r="AA142" i="1"/>
  <c r="AA135" i="1"/>
  <c r="AA166" i="1"/>
  <c r="AA179" i="1"/>
  <c r="AA322" i="1"/>
  <c r="AA303" i="1"/>
  <c r="AA232" i="1"/>
  <c r="AA32" i="1"/>
  <c r="AA35" i="1"/>
  <c r="AA269" i="1"/>
  <c r="AA173" i="1"/>
  <c r="AA192" i="1"/>
  <c r="AA81" i="1"/>
  <c r="AA95" i="1"/>
  <c r="AA327" i="1"/>
  <c r="AA26" i="1"/>
  <c r="AA41" i="1"/>
  <c r="AA176" i="1"/>
  <c r="AA141" i="1"/>
  <c r="AA271" i="1"/>
  <c r="AA196" i="1"/>
  <c r="AA71" i="1"/>
  <c r="AA251" i="1"/>
  <c r="AA139" i="1"/>
  <c r="AA289" i="1"/>
  <c r="AA128" i="1"/>
  <c r="AA31" i="1"/>
  <c r="AA220" i="1"/>
  <c r="AA308" i="1"/>
  <c r="AA204" i="1"/>
  <c r="AA94" i="1"/>
  <c r="AA259" i="1"/>
  <c r="AA247" i="1"/>
  <c r="AA72" i="1"/>
  <c r="AA118" i="1"/>
  <c r="AA39" i="1"/>
  <c r="AA103" i="1"/>
  <c r="AA217" i="1"/>
  <c r="AA210" i="1"/>
  <c r="AA262" i="1"/>
  <c r="AA152" i="1"/>
  <c r="AA298" i="1"/>
  <c r="AA17" i="1"/>
  <c r="AA277" i="1"/>
  <c r="AA268" i="1"/>
  <c r="AA177" i="1"/>
  <c r="AA226" i="1"/>
  <c r="AA282" i="1"/>
  <c r="AA283" i="1"/>
  <c r="AA330" i="1"/>
  <c r="AA92" i="1"/>
  <c r="AA323" i="1"/>
  <c r="AA149" i="1"/>
  <c r="AA321" i="1"/>
  <c r="AA309" i="1"/>
  <c r="AA70" i="1"/>
  <c r="AA144" i="1"/>
  <c r="AA96" i="1"/>
  <c r="AA86" i="1"/>
  <c r="AA281" i="1"/>
  <c r="AA62" i="1"/>
  <c r="AA311" i="1"/>
  <c r="AA120" i="1"/>
  <c r="AA156" i="1"/>
  <c r="AA205" i="1"/>
  <c r="AA180" i="1"/>
  <c r="AA48" i="1"/>
  <c r="AA57" i="1"/>
  <c r="AA203" i="1"/>
  <c r="AA160" i="1"/>
  <c r="AA270" i="1"/>
  <c r="AA310" i="1"/>
  <c r="AA228" i="1"/>
  <c r="AA114" i="1"/>
  <c r="AA5" i="1"/>
  <c r="AA183" i="1"/>
  <c r="AA182" i="1"/>
  <c r="AA316" i="1"/>
  <c r="AA318" i="1"/>
  <c r="AA80" i="1"/>
  <c r="AA145" i="1"/>
  <c r="AA231" i="1"/>
  <c r="AA110" i="1"/>
  <c r="AA59" i="1"/>
  <c r="AA56" i="1"/>
  <c r="AA174" i="1"/>
  <c r="AA73" i="1"/>
  <c r="AA276" i="1"/>
  <c r="AA157" i="1"/>
  <c r="AA29" i="1"/>
  <c r="AA127" i="1"/>
  <c r="AA274" i="1"/>
  <c r="AA263" i="1"/>
  <c r="AA288" i="1"/>
  <c r="AA147" i="1"/>
  <c r="AA113" i="1"/>
  <c r="AA255" i="1"/>
  <c r="AA146" i="1"/>
  <c r="AA167" i="1"/>
  <c r="AA187" i="1"/>
  <c r="AA119" i="1"/>
  <c r="AA235" i="1"/>
  <c r="AA54" i="1"/>
  <c r="AA242" i="1"/>
  <c r="AA61" i="1"/>
  <c r="AA33" i="1"/>
  <c r="AA154" i="1"/>
  <c r="AY218" i="1"/>
  <c r="AY252" i="1"/>
  <c r="AY307" i="1"/>
  <c r="AY301" i="1"/>
  <c r="AY58" i="1"/>
  <c r="AY229" i="1"/>
  <c r="AY181" i="1"/>
  <c r="AY216" i="1"/>
  <c r="AY99" i="1"/>
  <c r="AY40" i="1"/>
  <c r="AY238" i="1"/>
  <c r="AY134" i="1"/>
  <c r="AY184" i="1"/>
  <c r="AY137" i="1"/>
  <c r="AY300" i="1"/>
  <c r="AY250" i="1"/>
  <c r="AY52" i="1"/>
  <c r="AY188" i="1"/>
  <c r="AY209" i="1"/>
  <c r="AY129" i="1"/>
  <c r="AY190" i="1"/>
  <c r="AY237" i="1"/>
  <c r="AY257" i="1"/>
  <c r="AY314" i="1"/>
  <c r="AY18" i="1"/>
  <c r="AY213" i="1"/>
  <c r="AY186" i="1"/>
  <c r="AY10" i="1"/>
  <c r="AY328" i="1"/>
  <c r="AY122" i="1"/>
  <c r="AY265" i="1"/>
  <c r="AY25" i="1"/>
  <c r="AY240" i="1"/>
  <c r="AY164" i="1"/>
  <c r="AY109" i="1"/>
  <c r="AY171" i="1"/>
  <c r="AY256" i="1"/>
  <c r="AY151" i="1"/>
  <c r="AY286" i="1"/>
  <c r="AY112" i="1"/>
  <c r="AY193" i="1"/>
  <c r="AY315" i="1"/>
  <c r="AY325" i="1"/>
  <c r="AY108" i="1"/>
  <c r="AY239" i="1"/>
  <c r="AY253" i="1"/>
  <c r="AY178" i="1"/>
  <c r="AY77" i="1"/>
  <c r="AY201" i="1"/>
  <c r="AY199" i="1"/>
  <c r="AY60" i="1"/>
  <c r="AY320" i="1"/>
  <c r="AY66" i="1"/>
  <c r="AY241" i="1"/>
  <c r="AY279" i="1"/>
  <c r="AY324" i="1"/>
  <c r="AY230" i="1"/>
  <c r="AY28" i="1"/>
  <c r="AY37" i="1"/>
  <c r="AY69" i="1"/>
  <c r="AY78" i="1"/>
  <c r="AY79" i="1"/>
  <c r="AY90" i="1"/>
  <c r="AY125" i="1"/>
  <c r="AY107" i="1"/>
  <c r="AY50" i="1"/>
  <c r="AY224" i="1"/>
  <c r="AY15" i="1"/>
  <c r="AY223" i="1"/>
  <c r="AY197" i="1"/>
  <c r="AY34" i="1"/>
  <c r="AY194" i="1"/>
  <c r="AY165" i="1"/>
  <c r="AY317" i="1"/>
  <c r="AY24" i="1"/>
  <c r="AY124" i="1"/>
  <c r="AY267" i="1"/>
  <c r="AY319" i="1"/>
  <c r="AY16" i="1"/>
  <c r="AY82" i="1"/>
  <c r="AY22" i="1"/>
  <c r="AY198" i="1"/>
  <c r="AY306" i="1"/>
  <c r="AY100" i="1"/>
  <c r="AY169" i="1"/>
  <c r="AY63" i="1"/>
  <c r="AY64" i="1"/>
  <c r="AY185" i="1"/>
  <c r="AY273" i="1"/>
  <c r="AY23" i="1"/>
  <c r="AY126" i="1"/>
  <c r="AY67" i="1"/>
  <c r="AY8" i="1"/>
  <c r="AY222" i="1"/>
  <c r="AY189" i="1"/>
  <c r="AY136" i="1"/>
  <c r="AY260" i="1"/>
  <c r="AY207" i="1"/>
  <c r="AY244" i="1"/>
  <c r="AY249" i="1"/>
  <c r="AY212" i="1"/>
  <c r="AY208" i="1"/>
  <c r="AY214" i="1"/>
  <c r="AY211" i="1"/>
  <c r="AY148" i="1"/>
  <c r="AY14" i="1"/>
  <c r="AY200" i="1"/>
  <c r="AY291" i="1"/>
  <c r="AY292" i="1"/>
  <c r="AY49" i="1"/>
  <c r="AY105" i="1"/>
  <c r="AY68" i="1"/>
  <c r="AY287" i="1"/>
  <c r="AY138" i="1"/>
  <c r="AY150" i="1"/>
  <c r="AY278" i="1"/>
  <c r="AY84" i="1"/>
  <c r="AY133" i="1"/>
  <c r="AY175" i="1"/>
  <c r="AY115" i="1"/>
  <c r="AY20" i="1"/>
  <c r="AY261" i="1"/>
  <c r="AY272" i="1"/>
  <c r="AY11" i="1"/>
  <c r="AY130" i="1"/>
  <c r="AY326" i="1"/>
  <c r="AY6" i="1"/>
  <c r="AY168" i="1"/>
  <c r="AY305" i="1"/>
  <c r="AY280" i="1"/>
  <c r="AY89" i="1"/>
  <c r="AY264" i="1"/>
  <c r="AY102" i="1"/>
  <c r="AY38" i="1"/>
  <c r="AY98" i="1"/>
  <c r="AY111" i="1"/>
  <c r="AY304" i="1"/>
  <c r="AY293" i="1"/>
  <c r="AY234" i="1"/>
  <c r="AY3" i="1"/>
  <c r="AY104" i="1"/>
  <c r="AY13" i="1"/>
  <c r="AY245" i="1"/>
  <c r="AY296" i="1"/>
  <c r="AY313" i="1"/>
  <c r="AY47" i="1"/>
  <c r="AY132" i="1"/>
  <c r="AY131" i="1"/>
  <c r="AY215" i="1"/>
  <c r="AY258" i="1"/>
  <c r="AY275" i="1"/>
  <c r="AY101" i="1"/>
  <c r="AY83" i="1"/>
  <c r="AY123" i="1"/>
  <c r="AY312" i="1"/>
  <c r="AY88" i="1"/>
  <c r="AY91" i="1"/>
  <c r="AY163" i="1"/>
  <c r="AY12" i="1"/>
  <c r="AY74" i="1"/>
  <c r="AY43" i="1"/>
  <c r="AY42" i="1"/>
  <c r="AY299" i="1"/>
  <c r="AY248" i="1"/>
  <c r="AY121" i="1"/>
  <c r="AY27" i="1"/>
  <c r="AY75" i="1"/>
  <c r="AY297" i="1"/>
  <c r="AY266" i="1"/>
  <c r="AY162" i="1"/>
  <c r="AY53" i="1"/>
  <c r="AY285" i="1"/>
  <c r="AY65" i="1"/>
  <c r="AY55" i="1"/>
  <c r="AY19" i="1"/>
  <c r="AY97" i="1"/>
  <c r="AY202" i="1"/>
  <c r="AY87" i="1"/>
  <c r="AY116" i="1"/>
  <c r="AY246" i="1"/>
  <c r="AY172" i="1"/>
  <c r="AY153" i="1"/>
  <c r="AY158" i="1"/>
  <c r="AY85" i="1"/>
  <c r="AY243" i="1"/>
  <c r="AY76" i="1"/>
  <c r="AY254" i="1"/>
  <c r="AY155" i="1"/>
  <c r="AY236" i="1"/>
  <c r="AY46" i="1"/>
  <c r="AY7" i="1"/>
  <c r="AY290" i="1"/>
  <c r="AY284" i="1"/>
  <c r="AY191" i="1"/>
  <c r="AY45" i="1"/>
  <c r="AY233" i="1"/>
  <c r="AY206" i="1"/>
  <c r="AY294" i="1"/>
  <c r="AY295" i="1"/>
  <c r="AY159" i="1"/>
  <c r="AY195" i="1"/>
  <c r="AY140" i="1"/>
  <c r="AY4" i="1"/>
  <c r="AY302" i="1"/>
  <c r="AY93" i="1"/>
  <c r="AY36" i="1"/>
  <c r="AY44" i="1"/>
  <c r="AY143" i="1"/>
  <c r="AY225" i="1"/>
  <c r="AY9" i="1"/>
  <c r="AY117" i="1"/>
  <c r="AY219" i="1"/>
  <c r="AY227" i="1"/>
  <c r="AY221" i="1"/>
  <c r="AY161" i="1"/>
  <c r="AY2" i="1"/>
  <c r="AY30" i="1"/>
  <c r="AY106" i="1"/>
  <c r="AY21" i="1"/>
  <c r="AY329" i="1"/>
  <c r="AY170" i="1"/>
  <c r="AY51" i="1"/>
  <c r="AY142" i="1"/>
  <c r="AY135" i="1"/>
  <c r="AY166" i="1"/>
  <c r="AY179" i="1"/>
  <c r="AY322" i="1"/>
  <c r="AY303" i="1"/>
  <c r="AY232" i="1"/>
  <c r="AY32" i="1"/>
  <c r="AY35" i="1"/>
  <c r="AY269" i="1"/>
  <c r="AY173" i="1"/>
  <c r="AY192" i="1"/>
  <c r="AY81" i="1"/>
  <c r="AY95" i="1"/>
  <c r="AY327" i="1"/>
  <c r="AY26" i="1"/>
  <c r="AY41" i="1"/>
  <c r="AY176" i="1"/>
  <c r="AY141" i="1"/>
  <c r="AY271" i="1"/>
  <c r="AY196" i="1"/>
  <c r="AY71" i="1"/>
  <c r="AY251" i="1"/>
  <c r="AY139" i="1"/>
  <c r="AY289" i="1"/>
  <c r="AY128" i="1"/>
  <c r="AY31" i="1"/>
  <c r="AY220" i="1"/>
  <c r="AY308" i="1"/>
  <c r="AY204" i="1"/>
  <c r="AY94" i="1"/>
  <c r="AY259" i="1"/>
  <c r="AY247" i="1"/>
  <c r="AY72" i="1"/>
  <c r="AY118" i="1"/>
  <c r="AY39" i="1"/>
  <c r="AY103" i="1"/>
  <c r="AY217" i="1"/>
  <c r="AY210" i="1"/>
  <c r="AY262" i="1"/>
  <c r="AY152" i="1"/>
  <c r="AY298" i="1"/>
  <c r="AY17" i="1"/>
  <c r="AY277" i="1"/>
  <c r="AY268" i="1"/>
  <c r="AY177" i="1"/>
  <c r="AY226" i="1"/>
  <c r="AY282" i="1"/>
  <c r="AY283" i="1"/>
  <c r="AY330" i="1"/>
  <c r="AY92" i="1"/>
  <c r="AY323" i="1"/>
  <c r="AY149" i="1"/>
  <c r="AY321" i="1"/>
  <c r="AY309" i="1"/>
  <c r="AY70" i="1"/>
  <c r="AY144" i="1"/>
  <c r="AY96" i="1"/>
  <c r="AY86" i="1"/>
  <c r="AY281" i="1"/>
  <c r="AY62" i="1"/>
  <c r="AY311" i="1"/>
  <c r="AY120" i="1"/>
  <c r="AY156" i="1"/>
  <c r="AY205" i="1"/>
  <c r="AY180" i="1"/>
  <c r="AY48" i="1"/>
  <c r="AY57" i="1"/>
  <c r="AY203" i="1"/>
  <c r="AY160" i="1"/>
  <c r="AY270" i="1"/>
  <c r="AY310" i="1"/>
  <c r="AY228" i="1"/>
  <c r="AY114" i="1"/>
  <c r="AY5" i="1"/>
  <c r="AY183" i="1"/>
  <c r="AY182" i="1"/>
  <c r="AY316" i="1"/>
  <c r="AY318" i="1"/>
  <c r="AY80" i="1"/>
  <c r="AY145" i="1"/>
  <c r="AY231" i="1"/>
  <c r="AY110" i="1"/>
  <c r="AY59" i="1"/>
  <c r="AY56" i="1"/>
  <c r="AY174" i="1"/>
  <c r="AY73" i="1"/>
  <c r="AY276" i="1"/>
  <c r="AY157" i="1"/>
  <c r="AY29" i="1"/>
  <c r="AY127" i="1"/>
  <c r="AY274" i="1"/>
  <c r="AY263" i="1"/>
  <c r="AY288" i="1"/>
  <c r="AY147" i="1"/>
  <c r="AY113" i="1"/>
  <c r="AY255" i="1"/>
  <c r="AY146" i="1"/>
  <c r="AY167" i="1"/>
  <c r="AY187" i="1"/>
  <c r="AY119" i="1"/>
  <c r="AY235" i="1"/>
  <c r="AY54" i="1"/>
  <c r="AY242" i="1"/>
  <c r="AY61" i="1"/>
  <c r="AY33" i="1"/>
  <c r="AY154" i="1"/>
  <c r="Y218" i="1"/>
  <c r="Y252" i="1"/>
  <c r="Y307" i="1"/>
  <c r="Y301" i="1"/>
  <c r="Y58" i="1"/>
  <c r="Y229" i="1"/>
  <c r="Y181" i="1"/>
  <c r="Y216" i="1"/>
  <c r="Y99" i="1"/>
  <c r="Y40" i="1"/>
  <c r="Y238" i="1"/>
  <c r="Y134" i="1"/>
  <c r="Y184" i="1"/>
  <c r="Y137" i="1"/>
  <c r="Y300" i="1"/>
  <c r="Y250" i="1"/>
  <c r="Y52" i="1"/>
  <c r="Y188" i="1"/>
  <c r="Y209" i="1"/>
  <c r="Y129" i="1"/>
  <c r="Y190" i="1"/>
  <c r="Y237" i="1"/>
  <c r="Y257" i="1"/>
  <c r="Y314" i="1"/>
  <c r="Y18" i="1"/>
  <c r="Y213" i="1"/>
  <c r="Y186" i="1"/>
  <c r="Y10" i="1"/>
  <c r="Y328" i="1"/>
  <c r="Y122" i="1"/>
  <c r="Y265" i="1"/>
  <c r="Y25" i="1"/>
  <c r="Y240" i="1"/>
  <c r="Y164" i="1"/>
  <c r="Y109" i="1"/>
  <c r="Y171" i="1"/>
  <c r="Y256" i="1"/>
  <c r="Y151" i="1"/>
  <c r="Y286" i="1"/>
  <c r="Y112" i="1"/>
  <c r="Y193" i="1"/>
  <c r="Y315" i="1"/>
  <c r="Y325" i="1"/>
  <c r="Y108" i="1"/>
  <c r="Y239" i="1"/>
  <c r="Y253" i="1"/>
  <c r="Y178" i="1"/>
  <c r="Y77" i="1"/>
  <c r="Y201" i="1"/>
  <c r="Y199" i="1"/>
  <c r="Y60" i="1"/>
  <c r="Y320" i="1"/>
  <c r="Y66" i="1"/>
  <c r="Y241" i="1"/>
  <c r="Y279" i="1"/>
  <c r="Y324" i="1"/>
  <c r="Y230" i="1"/>
  <c r="Y28" i="1"/>
  <c r="Y37" i="1"/>
  <c r="Y69" i="1"/>
  <c r="Y78" i="1"/>
  <c r="Y79" i="1"/>
  <c r="Y90" i="1"/>
  <c r="Y125" i="1"/>
  <c r="Y107" i="1"/>
  <c r="Y50" i="1"/>
  <c r="Y224" i="1"/>
  <c r="Y15" i="1"/>
  <c r="Y223" i="1"/>
  <c r="Y197" i="1"/>
  <c r="Y34" i="1"/>
  <c r="Y194" i="1"/>
  <c r="Y165" i="1"/>
  <c r="Y317" i="1"/>
  <c r="Y24" i="1"/>
  <c r="Y124" i="1"/>
  <c r="Y267" i="1"/>
  <c r="Y319" i="1"/>
  <c r="Y16" i="1"/>
  <c r="Y82" i="1"/>
  <c r="Y22" i="1"/>
  <c r="Y198" i="1"/>
  <c r="Y306" i="1"/>
  <c r="Y100" i="1"/>
  <c r="Y169" i="1"/>
  <c r="Y63" i="1"/>
  <c r="Y64" i="1"/>
  <c r="Y185" i="1"/>
  <c r="Y273" i="1"/>
  <c r="Y23" i="1"/>
  <c r="Y126" i="1"/>
  <c r="Y67" i="1"/>
  <c r="Y8" i="1"/>
  <c r="Y222" i="1"/>
  <c r="Y189" i="1"/>
  <c r="Y136" i="1"/>
  <c r="Y260" i="1"/>
  <c r="Y207" i="1"/>
  <c r="Y244" i="1"/>
  <c r="Y249" i="1"/>
  <c r="Y212" i="1"/>
  <c r="Y208" i="1"/>
  <c r="Y214" i="1"/>
  <c r="Y211" i="1"/>
  <c r="Y148" i="1"/>
  <c r="Y14" i="1"/>
  <c r="Y200" i="1"/>
  <c r="Y291" i="1"/>
  <c r="Y292" i="1"/>
  <c r="Y49" i="1"/>
  <c r="Y105" i="1"/>
  <c r="Y68" i="1"/>
  <c r="Y287" i="1"/>
  <c r="Y138" i="1"/>
  <c r="Y150" i="1"/>
  <c r="Y278" i="1"/>
  <c r="Y84" i="1"/>
  <c r="Y133" i="1"/>
  <c r="Y175" i="1"/>
  <c r="Y115" i="1"/>
  <c r="Y20" i="1"/>
  <c r="Y261" i="1"/>
  <c r="Y272" i="1"/>
  <c r="Y11" i="1"/>
  <c r="Y130" i="1"/>
  <c r="Y326" i="1"/>
  <c r="Y6" i="1"/>
  <c r="Y168" i="1"/>
  <c r="Y305" i="1"/>
  <c r="Y280" i="1"/>
  <c r="Y89" i="1"/>
  <c r="Y264" i="1"/>
  <c r="Y102" i="1"/>
  <c r="Y38" i="1"/>
  <c r="Y98" i="1"/>
  <c r="Y111" i="1"/>
  <c r="Y304" i="1"/>
  <c r="Y293" i="1"/>
  <c r="Y234" i="1"/>
  <c r="Y3" i="1"/>
  <c r="Y104" i="1"/>
  <c r="Y13" i="1"/>
  <c r="Y245" i="1"/>
  <c r="Y296" i="1"/>
  <c r="Y313" i="1"/>
  <c r="Y47" i="1"/>
  <c r="Y132" i="1"/>
  <c r="Y131" i="1"/>
  <c r="Y215" i="1"/>
  <c r="Y258" i="1"/>
  <c r="Y275" i="1"/>
  <c r="Y101" i="1"/>
  <c r="Y83" i="1"/>
  <c r="Y123" i="1"/>
  <c r="Y312" i="1"/>
  <c r="Y88" i="1"/>
  <c r="Y91" i="1"/>
  <c r="Y163" i="1"/>
  <c r="Y12" i="1"/>
  <c r="Y74" i="1"/>
  <c r="Y43" i="1"/>
  <c r="Y42" i="1"/>
  <c r="Y299" i="1"/>
  <c r="Y248" i="1"/>
  <c r="Y121" i="1"/>
  <c r="Y27" i="1"/>
  <c r="Y75" i="1"/>
  <c r="Y297" i="1"/>
  <c r="Y266" i="1"/>
  <c r="Y162" i="1"/>
  <c r="Y53" i="1"/>
  <c r="Y285" i="1"/>
  <c r="Y65" i="1"/>
  <c r="Y55" i="1"/>
  <c r="Y19" i="1"/>
  <c r="Y97" i="1"/>
  <c r="Y202" i="1"/>
  <c r="Y87" i="1"/>
  <c r="Y116" i="1"/>
  <c r="Y246" i="1"/>
  <c r="Y172" i="1"/>
  <c r="Y153" i="1"/>
  <c r="Y158" i="1"/>
  <c r="Y85" i="1"/>
  <c r="Y243" i="1"/>
  <c r="Y76" i="1"/>
  <c r="Y254" i="1"/>
  <c r="Y155" i="1"/>
  <c r="Y236" i="1"/>
  <c r="Y46" i="1"/>
  <c r="Y7" i="1"/>
  <c r="Y290" i="1"/>
  <c r="Y284" i="1"/>
  <c r="Y191" i="1"/>
  <c r="Y45" i="1"/>
  <c r="Y233" i="1"/>
  <c r="Y206" i="1"/>
  <c r="Y294" i="1"/>
  <c r="Y295" i="1"/>
  <c r="Y159" i="1"/>
  <c r="Y195" i="1"/>
  <c r="Y140" i="1"/>
  <c r="Y4" i="1"/>
  <c r="Y302" i="1"/>
  <c r="Y93" i="1"/>
  <c r="Y36" i="1"/>
  <c r="Y44" i="1"/>
  <c r="Y143" i="1"/>
  <c r="Y225" i="1"/>
  <c r="Y9" i="1"/>
  <c r="Y117" i="1"/>
  <c r="Y219" i="1"/>
  <c r="Y227" i="1"/>
  <c r="Y221" i="1"/>
  <c r="Y161" i="1"/>
  <c r="Y2" i="1"/>
  <c r="Y30" i="1"/>
  <c r="Y106" i="1"/>
  <c r="Y21" i="1"/>
  <c r="Y329" i="1"/>
  <c r="Y170" i="1"/>
  <c r="Y51" i="1"/>
  <c r="Y142" i="1"/>
  <c r="Y135" i="1"/>
  <c r="Y166" i="1"/>
  <c r="Y179" i="1"/>
  <c r="Y322" i="1"/>
  <c r="Y303" i="1"/>
  <c r="Y232" i="1"/>
  <c r="Y32" i="1"/>
  <c r="Y35" i="1"/>
  <c r="Y269" i="1"/>
  <c r="Y173" i="1"/>
  <c r="Y192" i="1"/>
  <c r="Y81" i="1"/>
  <c r="Y95" i="1"/>
  <c r="Y327" i="1"/>
  <c r="Y26" i="1"/>
  <c r="Y41" i="1"/>
  <c r="Y176" i="1"/>
  <c r="Y141" i="1"/>
  <c r="Y271" i="1"/>
  <c r="Y196" i="1"/>
  <c r="Y71" i="1"/>
  <c r="Y251" i="1"/>
  <c r="Y139" i="1"/>
  <c r="Y289" i="1"/>
  <c r="Y128" i="1"/>
  <c r="Y31" i="1"/>
  <c r="Y220" i="1"/>
  <c r="Y308" i="1"/>
  <c r="Y204" i="1"/>
  <c r="Y94" i="1"/>
  <c r="Y259" i="1"/>
  <c r="Y247" i="1"/>
  <c r="Y72" i="1"/>
  <c r="Y118" i="1"/>
  <c r="Y39" i="1"/>
  <c r="Y103" i="1"/>
  <c r="Y217" i="1"/>
  <c r="Y210" i="1"/>
  <c r="Y262" i="1"/>
  <c r="Y152" i="1"/>
  <c r="Y298" i="1"/>
  <c r="Y17" i="1"/>
  <c r="Y277" i="1"/>
  <c r="Y268" i="1"/>
  <c r="Y177" i="1"/>
  <c r="Y226" i="1"/>
  <c r="Y282" i="1"/>
  <c r="Y283" i="1"/>
  <c r="Y330" i="1"/>
  <c r="Y92" i="1"/>
  <c r="Y323" i="1"/>
  <c r="Y149" i="1"/>
  <c r="Y321" i="1"/>
  <c r="Y309" i="1"/>
  <c r="Y70" i="1"/>
  <c r="Y144" i="1"/>
  <c r="Y96" i="1"/>
  <c r="Y86" i="1"/>
  <c r="Y281" i="1"/>
  <c r="Y62" i="1"/>
  <c r="Y311" i="1"/>
  <c r="Y120" i="1"/>
  <c r="Y156" i="1"/>
  <c r="Y205" i="1"/>
  <c r="Y180" i="1"/>
  <c r="Y48" i="1"/>
  <c r="Y57" i="1"/>
  <c r="Y203" i="1"/>
  <c r="Y160" i="1"/>
  <c r="Y270" i="1"/>
  <c r="Y310" i="1"/>
  <c r="Y228" i="1"/>
  <c r="Y114" i="1"/>
  <c r="Y5" i="1"/>
  <c r="Y183" i="1"/>
  <c r="Y182" i="1"/>
  <c r="Y316" i="1"/>
  <c r="Y318" i="1"/>
  <c r="Y80" i="1"/>
  <c r="Y145" i="1"/>
  <c r="Y231" i="1"/>
  <c r="Y110" i="1"/>
  <c r="Y59" i="1"/>
  <c r="Y56" i="1"/>
  <c r="Y174" i="1"/>
  <c r="Y73" i="1"/>
  <c r="Y276" i="1"/>
  <c r="Y157" i="1"/>
  <c r="Y29" i="1"/>
  <c r="Y127" i="1"/>
  <c r="Y274" i="1"/>
  <c r="Y263" i="1"/>
  <c r="Y288" i="1"/>
  <c r="Y147" i="1"/>
  <c r="Y113" i="1"/>
  <c r="Y255" i="1"/>
  <c r="Y146" i="1"/>
  <c r="Y167" i="1"/>
  <c r="Y187" i="1"/>
  <c r="Y119" i="1"/>
  <c r="Y235" i="1"/>
  <c r="Y54" i="1"/>
  <c r="Y242" i="1"/>
  <c r="Y61" i="1"/>
  <c r="Y33" i="1"/>
  <c r="Y154" i="1"/>
  <c r="W218" i="1"/>
  <c r="W252" i="1"/>
  <c r="W307" i="1"/>
  <c r="W301" i="1"/>
  <c r="W58" i="1"/>
  <c r="W229" i="1"/>
  <c r="W181" i="1"/>
  <c r="W216" i="1"/>
  <c r="W99" i="1"/>
  <c r="W40" i="1"/>
  <c r="W238" i="1"/>
  <c r="W134" i="1"/>
  <c r="W184" i="1"/>
  <c r="W137" i="1"/>
  <c r="W300" i="1"/>
  <c r="W250" i="1"/>
  <c r="W52" i="1"/>
  <c r="W188" i="1"/>
  <c r="W209" i="1"/>
  <c r="W129" i="1"/>
  <c r="W190" i="1"/>
  <c r="W237" i="1"/>
  <c r="W257" i="1"/>
  <c r="W314" i="1"/>
  <c r="W18" i="1"/>
  <c r="W213" i="1"/>
  <c r="W186" i="1"/>
  <c r="W10" i="1"/>
  <c r="W328" i="1"/>
  <c r="W122" i="1"/>
  <c r="W265" i="1"/>
  <c r="W25" i="1"/>
  <c r="W240" i="1"/>
  <c r="W164" i="1"/>
  <c r="W109" i="1"/>
  <c r="W171" i="1"/>
  <c r="W256" i="1"/>
  <c r="W151" i="1"/>
  <c r="W286" i="1"/>
  <c r="W112" i="1"/>
  <c r="W193" i="1"/>
  <c r="W315" i="1"/>
  <c r="W325" i="1"/>
  <c r="W108" i="1"/>
  <c r="W239" i="1"/>
  <c r="W253" i="1"/>
  <c r="W178" i="1"/>
  <c r="W77" i="1"/>
  <c r="W201" i="1"/>
  <c r="W199" i="1"/>
  <c r="W60" i="1"/>
  <c r="W320" i="1"/>
  <c r="W66" i="1"/>
  <c r="W241" i="1"/>
  <c r="W279" i="1"/>
  <c r="W324" i="1"/>
  <c r="W230" i="1"/>
  <c r="W28" i="1"/>
  <c r="W37" i="1"/>
  <c r="W69" i="1"/>
  <c r="W78" i="1"/>
  <c r="W79" i="1"/>
  <c r="W90" i="1"/>
  <c r="W125" i="1"/>
  <c r="W107" i="1"/>
  <c r="W50" i="1"/>
  <c r="W224" i="1"/>
  <c r="W15" i="1"/>
  <c r="W223" i="1"/>
  <c r="W197" i="1"/>
  <c r="W34" i="1"/>
  <c r="W194" i="1"/>
  <c r="W165" i="1"/>
  <c r="W317" i="1"/>
  <c r="W24" i="1"/>
  <c r="W124" i="1"/>
  <c r="W267" i="1"/>
  <c r="W319" i="1"/>
  <c r="W16" i="1"/>
  <c r="W82" i="1"/>
  <c r="W22" i="1"/>
  <c r="W198" i="1"/>
  <c r="W306" i="1"/>
  <c r="W100" i="1"/>
  <c r="W169" i="1"/>
  <c r="W63" i="1"/>
  <c r="W64" i="1"/>
  <c r="W185" i="1"/>
  <c r="W273" i="1"/>
  <c r="W23" i="1"/>
  <c r="W126" i="1"/>
  <c r="W67" i="1"/>
  <c r="W8" i="1"/>
  <c r="W222" i="1"/>
  <c r="W189" i="1"/>
  <c r="W136" i="1"/>
  <c r="W260" i="1"/>
  <c r="W207" i="1"/>
  <c r="W244" i="1"/>
  <c r="W249" i="1"/>
  <c r="W212" i="1"/>
  <c r="W208" i="1"/>
  <c r="W214" i="1"/>
  <c r="W211" i="1"/>
  <c r="W148" i="1"/>
  <c r="W14" i="1"/>
  <c r="W200" i="1"/>
  <c r="W291" i="1"/>
  <c r="W292" i="1"/>
  <c r="W49" i="1"/>
  <c r="W105" i="1"/>
  <c r="W68" i="1"/>
  <c r="W287" i="1"/>
  <c r="W138" i="1"/>
  <c r="W150" i="1"/>
  <c r="W278" i="1"/>
  <c r="W84" i="1"/>
  <c r="W133" i="1"/>
  <c r="W175" i="1"/>
  <c r="W115" i="1"/>
  <c r="W20" i="1"/>
  <c r="W261" i="1"/>
  <c r="W272" i="1"/>
  <c r="W11" i="1"/>
  <c r="W130" i="1"/>
  <c r="W326" i="1"/>
  <c r="W6" i="1"/>
  <c r="W168" i="1"/>
  <c r="W305" i="1"/>
  <c r="W280" i="1"/>
  <c r="W89" i="1"/>
  <c r="W264" i="1"/>
  <c r="W102" i="1"/>
  <c r="W38" i="1"/>
  <c r="W98" i="1"/>
  <c r="W111" i="1"/>
  <c r="W304" i="1"/>
  <c r="W293" i="1"/>
  <c r="W234" i="1"/>
  <c r="W3" i="1"/>
  <c r="W104" i="1"/>
  <c r="W13" i="1"/>
  <c r="W245" i="1"/>
  <c r="W296" i="1"/>
  <c r="W313" i="1"/>
  <c r="W47" i="1"/>
  <c r="W132" i="1"/>
  <c r="W131" i="1"/>
  <c r="W215" i="1"/>
  <c r="W258" i="1"/>
  <c r="W275" i="1"/>
  <c r="W101" i="1"/>
  <c r="W83" i="1"/>
  <c r="W123" i="1"/>
  <c r="W312" i="1"/>
  <c r="W88" i="1"/>
  <c r="W91" i="1"/>
  <c r="W163" i="1"/>
  <c r="W12" i="1"/>
  <c r="W74" i="1"/>
  <c r="W43" i="1"/>
  <c r="W42" i="1"/>
  <c r="W299" i="1"/>
  <c r="W248" i="1"/>
  <c r="W121" i="1"/>
  <c r="W27" i="1"/>
  <c r="W75" i="1"/>
  <c r="W297" i="1"/>
  <c r="W266" i="1"/>
  <c r="W162" i="1"/>
  <c r="W53" i="1"/>
  <c r="W285" i="1"/>
  <c r="W65" i="1"/>
  <c r="W55" i="1"/>
  <c r="W19" i="1"/>
  <c r="W97" i="1"/>
  <c r="W202" i="1"/>
  <c r="W87" i="1"/>
  <c r="W116" i="1"/>
  <c r="W246" i="1"/>
  <c r="W172" i="1"/>
  <c r="W153" i="1"/>
  <c r="W158" i="1"/>
  <c r="W85" i="1"/>
  <c r="W243" i="1"/>
  <c r="W76" i="1"/>
  <c r="W254" i="1"/>
  <c r="W155" i="1"/>
  <c r="W236" i="1"/>
  <c r="W46" i="1"/>
  <c r="W7" i="1"/>
  <c r="W290" i="1"/>
  <c r="W284" i="1"/>
  <c r="W191" i="1"/>
  <c r="W45" i="1"/>
  <c r="W233" i="1"/>
  <c r="W206" i="1"/>
  <c r="W294" i="1"/>
  <c r="W295" i="1"/>
  <c r="W159" i="1"/>
  <c r="W195" i="1"/>
  <c r="W140" i="1"/>
  <c r="W4" i="1"/>
  <c r="W302" i="1"/>
  <c r="W93" i="1"/>
  <c r="W36" i="1"/>
  <c r="W44" i="1"/>
  <c r="W143" i="1"/>
  <c r="W225" i="1"/>
  <c r="W9" i="1"/>
  <c r="W117" i="1"/>
  <c r="W219" i="1"/>
  <c r="W227" i="1"/>
  <c r="W221" i="1"/>
  <c r="W161" i="1"/>
  <c r="W2" i="1"/>
  <c r="W30" i="1"/>
  <c r="W106" i="1"/>
  <c r="W21" i="1"/>
  <c r="W329" i="1"/>
  <c r="W170" i="1"/>
  <c r="W51" i="1"/>
  <c r="W142" i="1"/>
  <c r="W135" i="1"/>
  <c r="W166" i="1"/>
  <c r="W179" i="1"/>
  <c r="W322" i="1"/>
  <c r="W303" i="1"/>
  <c r="W232" i="1"/>
  <c r="W32" i="1"/>
  <c r="W35" i="1"/>
  <c r="W269" i="1"/>
  <c r="W173" i="1"/>
  <c r="W192" i="1"/>
  <c r="W81" i="1"/>
  <c r="W95" i="1"/>
  <c r="W327" i="1"/>
  <c r="W26" i="1"/>
  <c r="W41" i="1"/>
  <c r="W176" i="1"/>
  <c r="W141" i="1"/>
  <c r="W271" i="1"/>
  <c r="W196" i="1"/>
  <c r="W71" i="1"/>
  <c r="W251" i="1"/>
  <c r="W139" i="1"/>
  <c r="W289" i="1"/>
  <c r="W128" i="1"/>
  <c r="W31" i="1"/>
  <c r="W220" i="1"/>
  <c r="W308" i="1"/>
  <c r="W204" i="1"/>
  <c r="W94" i="1"/>
  <c r="W259" i="1"/>
  <c r="W247" i="1"/>
  <c r="W72" i="1"/>
  <c r="W118" i="1"/>
  <c r="W39" i="1"/>
  <c r="W103" i="1"/>
  <c r="W217" i="1"/>
  <c r="W210" i="1"/>
  <c r="W262" i="1"/>
  <c r="W152" i="1"/>
  <c r="W298" i="1"/>
  <c r="W17" i="1"/>
  <c r="W277" i="1"/>
  <c r="W268" i="1"/>
  <c r="W177" i="1"/>
  <c r="W226" i="1"/>
  <c r="W282" i="1"/>
  <c r="W283" i="1"/>
  <c r="W330" i="1"/>
  <c r="W92" i="1"/>
  <c r="W323" i="1"/>
  <c r="W149" i="1"/>
  <c r="W321" i="1"/>
  <c r="W309" i="1"/>
  <c r="W70" i="1"/>
  <c r="W144" i="1"/>
  <c r="W96" i="1"/>
  <c r="W86" i="1"/>
  <c r="W281" i="1"/>
  <c r="W62" i="1"/>
  <c r="W311" i="1"/>
  <c r="W120" i="1"/>
  <c r="W156" i="1"/>
  <c r="W205" i="1"/>
  <c r="W180" i="1"/>
  <c r="W48" i="1"/>
  <c r="W57" i="1"/>
  <c r="W203" i="1"/>
  <c r="W160" i="1"/>
  <c r="W270" i="1"/>
  <c r="W310" i="1"/>
  <c r="W228" i="1"/>
  <c r="W114" i="1"/>
  <c r="W5" i="1"/>
  <c r="W183" i="1"/>
  <c r="W182" i="1"/>
  <c r="W316" i="1"/>
  <c r="W318" i="1"/>
  <c r="W80" i="1"/>
  <c r="W145" i="1"/>
  <c r="W231" i="1"/>
  <c r="W110" i="1"/>
  <c r="W59" i="1"/>
  <c r="W56" i="1"/>
  <c r="W174" i="1"/>
  <c r="W73" i="1"/>
  <c r="W276" i="1"/>
  <c r="W157" i="1"/>
  <c r="W29" i="1"/>
  <c r="W127" i="1"/>
  <c r="W274" i="1"/>
  <c r="W263" i="1"/>
  <c r="W288" i="1"/>
  <c r="W147" i="1"/>
  <c r="W113" i="1"/>
  <c r="W255" i="1"/>
  <c r="W146" i="1"/>
  <c r="W167" i="1"/>
  <c r="W187" i="1"/>
  <c r="W119" i="1"/>
  <c r="W235" i="1"/>
  <c r="W54" i="1"/>
  <c r="W242" i="1"/>
  <c r="W61" i="1"/>
  <c r="W33" i="1"/>
  <c r="W154" i="1"/>
  <c r="Q218" i="1"/>
  <c r="Q252" i="1"/>
  <c r="Q307" i="1"/>
  <c r="Q301" i="1"/>
  <c r="Q58" i="1"/>
  <c r="Q229" i="1"/>
  <c r="Q181" i="1"/>
  <c r="Q216" i="1"/>
  <c r="Q99" i="1"/>
  <c r="Q40" i="1"/>
  <c r="Q238" i="1"/>
  <c r="Q134" i="1"/>
  <c r="Q184" i="1"/>
  <c r="Q137" i="1"/>
  <c r="Q300" i="1"/>
  <c r="Q250" i="1"/>
  <c r="Q52" i="1"/>
  <c r="Q188" i="1"/>
  <c r="Q209" i="1"/>
  <c r="Q129" i="1"/>
  <c r="Q190" i="1"/>
  <c r="Q237" i="1"/>
  <c r="Q257" i="1"/>
  <c r="Q314" i="1"/>
  <c r="Q18" i="1"/>
  <c r="Q213" i="1"/>
  <c r="Q186" i="1"/>
  <c r="Q10" i="1"/>
  <c r="Q328" i="1"/>
  <c r="Q122" i="1"/>
  <c r="Q265" i="1"/>
  <c r="Q25" i="1"/>
  <c r="Q240" i="1"/>
  <c r="Q164" i="1"/>
  <c r="Q109" i="1"/>
  <c r="Q171" i="1"/>
  <c r="Q256" i="1"/>
  <c r="Q151" i="1"/>
  <c r="Q286" i="1"/>
  <c r="Q112" i="1"/>
  <c r="Q193" i="1"/>
  <c r="Q315" i="1"/>
  <c r="Q325" i="1"/>
  <c r="Q108" i="1"/>
  <c r="Q239" i="1"/>
  <c r="Q253" i="1"/>
  <c r="Q178" i="1"/>
  <c r="Q77" i="1"/>
  <c r="Q201" i="1"/>
  <c r="Q199" i="1"/>
  <c r="Q60" i="1"/>
  <c r="Q320" i="1"/>
  <c r="Q66" i="1"/>
  <c r="Q241" i="1"/>
  <c r="Q279" i="1"/>
  <c r="Q324" i="1"/>
  <c r="Q230" i="1"/>
  <c r="Q28" i="1"/>
  <c r="Q37" i="1"/>
  <c r="Q69" i="1"/>
  <c r="Q78" i="1"/>
  <c r="Q79" i="1"/>
  <c r="Q90" i="1"/>
  <c r="Q125" i="1"/>
  <c r="Q107" i="1"/>
  <c r="Q50" i="1"/>
  <c r="Q224" i="1"/>
  <c r="Q15" i="1"/>
  <c r="Q223" i="1"/>
  <c r="Q197" i="1"/>
  <c r="Q34" i="1"/>
  <c r="Q194" i="1"/>
  <c r="Q165" i="1"/>
  <c r="Q317" i="1"/>
  <c r="Q24" i="1"/>
  <c r="Q124" i="1"/>
  <c r="Q267" i="1"/>
  <c r="Q319" i="1"/>
  <c r="Q16" i="1"/>
  <c r="Q82" i="1"/>
  <c r="Q22" i="1"/>
  <c r="Q198" i="1"/>
  <c r="Q306" i="1"/>
  <c r="Q100" i="1"/>
  <c r="Q169" i="1"/>
  <c r="Q63" i="1"/>
  <c r="Q64" i="1"/>
  <c r="Q185" i="1"/>
  <c r="Q273" i="1"/>
  <c r="Q23" i="1"/>
  <c r="Q126" i="1"/>
  <c r="Q67" i="1"/>
  <c r="Q8" i="1"/>
  <c r="Q222" i="1"/>
  <c r="Q189" i="1"/>
  <c r="Q136" i="1"/>
  <c r="Q260" i="1"/>
  <c r="Q207" i="1"/>
  <c r="Q244" i="1"/>
  <c r="Q249" i="1"/>
  <c r="Q212" i="1"/>
  <c r="Q208" i="1"/>
  <c r="Q214" i="1"/>
  <c r="Q211" i="1"/>
  <c r="Q148" i="1"/>
  <c r="Q14" i="1"/>
  <c r="Q200" i="1"/>
  <c r="Q291" i="1"/>
  <c r="Q292" i="1"/>
  <c r="Q49" i="1"/>
  <c r="Q105" i="1"/>
  <c r="Q68" i="1"/>
  <c r="Q287" i="1"/>
  <c r="Q138" i="1"/>
  <c r="Q150" i="1"/>
  <c r="Q278" i="1"/>
  <c r="Q84" i="1"/>
  <c r="Q133" i="1"/>
  <c r="Q175" i="1"/>
  <c r="Q115" i="1"/>
  <c r="Q20" i="1"/>
  <c r="Q261" i="1"/>
  <c r="Q272" i="1"/>
  <c r="Q11" i="1"/>
  <c r="Q130" i="1"/>
  <c r="Q326" i="1"/>
  <c r="Q6" i="1"/>
  <c r="Q168" i="1"/>
  <c r="Q305" i="1"/>
  <c r="Q280" i="1"/>
  <c r="Q89" i="1"/>
  <c r="Q264" i="1"/>
  <c r="Q102" i="1"/>
  <c r="Q38" i="1"/>
  <c r="Q98" i="1"/>
  <c r="Q111" i="1"/>
  <c r="Q304" i="1"/>
  <c r="Q293" i="1"/>
  <c r="Q234" i="1"/>
  <c r="Q3" i="1"/>
  <c r="Q104" i="1"/>
  <c r="Q13" i="1"/>
  <c r="Q245" i="1"/>
  <c r="Q296" i="1"/>
  <c r="Q313" i="1"/>
  <c r="Q47" i="1"/>
  <c r="Q132" i="1"/>
  <c r="Q131" i="1"/>
  <c r="Q215" i="1"/>
  <c r="Q258" i="1"/>
  <c r="Q275" i="1"/>
  <c r="Q101" i="1"/>
  <c r="Q83" i="1"/>
  <c r="Q123" i="1"/>
  <c r="Q312" i="1"/>
  <c r="Q88" i="1"/>
  <c r="Q91" i="1"/>
  <c r="Q163" i="1"/>
  <c r="Q12" i="1"/>
  <c r="Q74" i="1"/>
  <c r="Q43" i="1"/>
  <c r="Q42" i="1"/>
  <c r="Q299" i="1"/>
  <c r="Q248" i="1"/>
  <c r="Q121" i="1"/>
  <c r="Q27" i="1"/>
  <c r="Q75" i="1"/>
  <c r="Q297" i="1"/>
  <c r="Q266" i="1"/>
  <c r="Q162" i="1"/>
  <c r="Q53" i="1"/>
  <c r="Q285" i="1"/>
  <c r="Q65" i="1"/>
  <c r="Q55" i="1"/>
  <c r="Q19" i="1"/>
  <c r="Q97" i="1"/>
  <c r="Q202" i="1"/>
  <c r="Q87" i="1"/>
  <c r="Q116" i="1"/>
  <c r="Q246" i="1"/>
  <c r="Q172" i="1"/>
  <c r="Q153" i="1"/>
  <c r="Q158" i="1"/>
  <c r="Q85" i="1"/>
  <c r="Q243" i="1"/>
  <c r="Q76" i="1"/>
  <c r="Q254" i="1"/>
  <c r="Q155" i="1"/>
  <c r="Q236" i="1"/>
  <c r="Q46" i="1"/>
  <c r="Q7" i="1"/>
  <c r="Q290" i="1"/>
  <c r="Q284" i="1"/>
  <c r="Q191" i="1"/>
  <c r="Q45" i="1"/>
  <c r="Q233" i="1"/>
  <c r="Q206" i="1"/>
  <c r="Q294" i="1"/>
  <c r="Q295" i="1"/>
  <c r="Q159" i="1"/>
  <c r="Q195" i="1"/>
  <c r="Q140" i="1"/>
  <c r="Q4" i="1"/>
  <c r="Q302" i="1"/>
  <c r="Q93" i="1"/>
  <c r="Q36" i="1"/>
  <c r="Q44" i="1"/>
  <c r="Q143" i="1"/>
  <c r="Q225" i="1"/>
  <c r="Q9" i="1"/>
  <c r="Q117" i="1"/>
  <c r="Q219" i="1"/>
  <c r="Q227" i="1"/>
  <c r="Q221" i="1"/>
  <c r="Q161" i="1"/>
  <c r="Q2" i="1"/>
  <c r="Q30" i="1"/>
  <c r="Q106" i="1"/>
  <c r="Q21" i="1"/>
  <c r="Q329" i="1"/>
  <c r="Q170" i="1"/>
  <c r="Q51" i="1"/>
  <c r="Q142" i="1"/>
  <c r="Q135" i="1"/>
  <c r="Q166" i="1"/>
  <c r="Q179" i="1"/>
  <c r="Q322" i="1"/>
  <c r="Q303" i="1"/>
  <c r="Q232" i="1"/>
  <c r="Q32" i="1"/>
  <c r="Q35" i="1"/>
  <c r="Q269" i="1"/>
  <c r="Q173" i="1"/>
  <c r="Q192" i="1"/>
  <c r="Q81" i="1"/>
  <c r="Q95" i="1"/>
  <c r="Q327" i="1"/>
  <c r="Q26" i="1"/>
  <c r="Q41" i="1"/>
  <c r="Q176" i="1"/>
  <c r="Q141" i="1"/>
  <c r="Q271" i="1"/>
  <c r="Q196" i="1"/>
  <c r="Q71" i="1"/>
  <c r="Q251" i="1"/>
  <c r="Q139" i="1"/>
  <c r="Q289" i="1"/>
  <c r="Q128" i="1"/>
  <c r="Q31" i="1"/>
  <c r="Q220" i="1"/>
  <c r="Q308" i="1"/>
  <c r="Q204" i="1"/>
  <c r="Q94" i="1"/>
  <c r="Q259" i="1"/>
  <c r="Q247" i="1"/>
  <c r="Q72" i="1"/>
  <c r="Q118" i="1"/>
  <c r="Q39" i="1"/>
  <c r="Q103" i="1"/>
  <c r="Q217" i="1"/>
  <c r="Q210" i="1"/>
  <c r="Q262" i="1"/>
  <c r="Q152" i="1"/>
  <c r="Q298" i="1"/>
  <c r="Q17" i="1"/>
  <c r="Q277" i="1"/>
  <c r="Q268" i="1"/>
  <c r="Q177" i="1"/>
  <c r="Q226" i="1"/>
  <c r="Q282" i="1"/>
  <c r="Q283" i="1"/>
  <c r="Q330" i="1"/>
  <c r="Q92" i="1"/>
  <c r="Q323" i="1"/>
  <c r="Q149" i="1"/>
  <c r="Q321" i="1"/>
  <c r="Q309" i="1"/>
  <c r="Q70" i="1"/>
  <c r="Q144" i="1"/>
  <c r="Q96" i="1"/>
  <c r="Q86" i="1"/>
  <c r="Q281" i="1"/>
  <c r="Q62" i="1"/>
  <c r="Q311" i="1"/>
  <c r="Q120" i="1"/>
  <c r="Q156" i="1"/>
  <c r="Q205" i="1"/>
  <c r="Q180" i="1"/>
  <c r="Q48" i="1"/>
  <c r="Q57" i="1"/>
  <c r="Q203" i="1"/>
  <c r="Q160" i="1"/>
  <c r="Q270" i="1"/>
  <c r="Q310" i="1"/>
  <c r="Q228" i="1"/>
  <c r="Q114" i="1"/>
  <c r="Q5" i="1"/>
  <c r="Q183" i="1"/>
  <c r="Q182" i="1"/>
  <c r="Q316" i="1"/>
  <c r="Q318" i="1"/>
  <c r="Q80" i="1"/>
  <c r="Q145" i="1"/>
  <c r="Q231" i="1"/>
  <c r="Q110" i="1"/>
  <c r="Q59" i="1"/>
  <c r="Q56" i="1"/>
  <c r="Q174" i="1"/>
  <c r="Q73" i="1"/>
  <c r="Q276" i="1"/>
  <c r="Q157" i="1"/>
  <c r="Q29" i="1"/>
  <c r="Q127" i="1"/>
  <c r="Q274" i="1"/>
  <c r="Q263" i="1"/>
  <c r="Q288" i="1"/>
  <c r="Q147" i="1"/>
  <c r="Q113" i="1"/>
  <c r="Q255" i="1"/>
  <c r="Q146" i="1"/>
  <c r="Q167" i="1"/>
  <c r="Q187" i="1"/>
  <c r="Q119" i="1"/>
  <c r="Q235" i="1"/>
  <c r="Q54" i="1"/>
  <c r="Q242" i="1"/>
  <c r="Q61" i="1"/>
  <c r="Q33" i="1"/>
  <c r="Q154" i="1"/>
  <c r="R218" i="1"/>
  <c r="R252" i="1"/>
  <c r="R307" i="1"/>
  <c r="R301" i="1"/>
  <c r="R58" i="1"/>
  <c r="R229" i="1"/>
  <c r="R181" i="1"/>
  <c r="R216" i="1"/>
  <c r="R99" i="1"/>
  <c r="R40" i="1"/>
  <c r="R238" i="1"/>
  <c r="R134" i="1"/>
  <c r="R184" i="1"/>
  <c r="R137" i="1"/>
  <c r="R300" i="1"/>
  <c r="R250" i="1"/>
  <c r="R52" i="1"/>
  <c r="R188" i="1"/>
  <c r="R209" i="1"/>
  <c r="R129" i="1"/>
  <c r="R190" i="1"/>
  <c r="R237" i="1"/>
  <c r="R257" i="1"/>
  <c r="R314" i="1"/>
  <c r="R18" i="1"/>
  <c r="R213" i="1"/>
  <c r="R186" i="1"/>
  <c r="R10" i="1"/>
  <c r="R328" i="1"/>
  <c r="R122" i="1"/>
  <c r="R265" i="1"/>
  <c r="R25" i="1"/>
  <c r="R240" i="1"/>
  <c r="R164" i="1"/>
  <c r="R109" i="1"/>
  <c r="R171" i="1"/>
  <c r="R256" i="1"/>
  <c r="R151" i="1"/>
  <c r="R286" i="1"/>
  <c r="R112" i="1"/>
  <c r="R193" i="1"/>
  <c r="R315" i="1"/>
  <c r="R325" i="1"/>
  <c r="R108" i="1"/>
  <c r="R239" i="1"/>
  <c r="R253" i="1"/>
  <c r="R178" i="1"/>
  <c r="R77" i="1"/>
  <c r="R201" i="1"/>
  <c r="R199" i="1"/>
  <c r="R60" i="1"/>
  <c r="R320" i="1"/>
  <c r="R66" i="1"/>
  <c r="R241" i="1"/>
  <c r="R279" i="1"/>
  <c r="R324" i="1"/>
  <c r="R230" i="1"/>
  <c r="R28" i="1"/>
  <c r="R37" i="1"/>
  <c r="R69" i="1"/>
  <c r="R78" i="1"/>
  <c r="R79" i="1"/>
  <c r="R90" i="1"/>
  <c r="R125" i="1"/>
  <c r="R107" i="1"/>
  <c r="R50" i="1"/>
  <c r="R224" i="1"/>
  <c r="R15" i="1"/>
  <c r="R223" i="1"/>
  <c r="R197" i="1"/>
  <c r="R34" i="1"/>
  <c r="R194" i="1"/>
  <c r="R165" i="1"/>
  <c r="R317" i="1"/>
  <c r="R24" i="1"/>
  <c r="R124" i="1"/>
  <c r="R267" i="1"/>
  <c r="R319" i="1"/>
  <c r="R16" i="1"/>
  <c r="R82" i="1"/>
  <c r="R22" i="1"/>
  <c r="R198" i="1"/>
  <c r="R306" i="1"/>
  <c r="R100" i="1"/>
  <c r="R169" i="1"/>
  <c r="R63" i="1"/>
  <c r="R64" i="1"/>
  <c r="R185" i="1"/>
  <c r="R273" i="1"/>
  <c r="R23" i="1"/>
  <c r="R126" i="1"/>
  <c r="R67" i="1"/>
  <c r="R8" i="1"/>
  <c r="R222" i="1"/>
  <c r="R189" i="1"/>
  <c r="R136" i="1"/>
  <c r="R260" i="1"/>
  <c r="R207" i="1"/>
  <c r="R244" i="1"/>
  <c r="R249" i="1"/>
  <c r="R212" i="1"/>
  <c r="R208" i="1"/>
  <c r="R214" i="1"/>
  <c r="R211" i="1"/>
  <c r="R148" i="1"/>
  <c r="R14" i="1"/>
  <c r="R200" i="1"/>
  <c r="R291" i="1"/>
  <c r="R292" i="1"/>
  <c r="R49" i="1"/>
  <c r="R105" i="1"/>
  <c r="R68" i="1"/>
  <c r="R287" i="1"/>
  <c r="R138" i="1"/>
  <c r="R150" i="1"/>
  <c r="R278" i="1"/>
  <c r="R84" i="1"/>
  <c r="R133" i="1"/>
  <c r="R175" i="1"/>
  <c r="R115" i="1"/>
  <c r="R20" i="1"/>
  <c r="R261" i="1"/>
  <c r="R272" i="1"/>
  <c r="R11" i="1"/>
  <c r="R130" i="1"/>
  <c r="R326" i="1"/>
  <c r="R6" i="1"/>
  <c r="R168" i="1"/>
  <c r="R305" i="1"/>
  <c r="R280" i="1"/>
  <c r="R89" i="1"/>
  <c r="R264" i="1"/>
  <c r="R102" i="1"/>
  <c r="R38" i="1"/>
  <c r="R98" i="1"/>
  <c r="R111" i="1"/>
  <c r="R304" i="1"/>
  <c r="R293" i="1"/>
  <c r="R234" i="1"/>
  <c r="R3" i="1"/>
  <c r="R104" i="1"/>
  <c r="R13" i="1"/>
  <c r="R245" i="1"/>
  <c r="R296" i="1"/>
  <c r="R313" i="1"/>
  <c r="R47" i="1"/>
  <c r="R132" i="1"/>
  <c r="R131" i="1"/>
  <c r="R215" i="1"/>
  <c r="R258" i="1"/>
  <c r="R275" i="1"/>
  <c r="R101" i="1"/>
  <c r="R83" i="1"/>
  <c r="R123" i="1"/>
  <c r="R312" i="1"/>
  <c r="R88" i="1"/>
  <c r="R91" i="1"/>
  <c r="R163" i="1"/>
  <c r="R12" i="1"/>
  <c r="R74" i="1"/>
  <c r="R43" i="1"/>
  <c r="R42" i="1"/>
  <c r="R299" i="1"/>
  <c r="R248" i="1"/>
  <c r="R121" i="1"/>
  <c r="R27" i="1"/>
  <c r="R75" i="1"/>
  <c r="R297" i="1"/>
  <c r="R266" i="1"/>
  <c r="R162" i="1"/>
  <c r="R53" i="1"/>
  <c r="R285" i="1"/>
  <c r="R65" i="1"/>
  <c r="R55" i="1"/>
  <c r="R19" i="1"/>
  <c r="R97" i="1"/>
  <c r="R202" i="1"/>
  <c r="R87" i="1"/>
  <c r="R116" i="1"/>
  <c r="R246" i="1"/>
  <c r="R172" i="1"/>
  <c r="R153" i="1"/>
  <c r="R158" i="1"/>
  <c r="R85" i="1"/>
  <c r="R243" i="1"/>
  <c r="R76" i="1"/>
  <c r="R254" i="1"/>
  <c r="R155" i="1"/>
  <c r="R236" i="1"/>
  <c r="R46" i="1"/>
  <c r="R7" i="1"/>
  <c r="R290" i="1"/>
  <c r="R284" i="1"/>
  <c r="R191" i="1"/>
  <c r="R45" i="1"/>
  <c r="R233" i="1"/>
  <c r="R206" i="1"/>
  <c r="R294" i="1"/>
  <c r="R295" i="1"/>
  <c r="R159" i="1"/>
  <c r="R195" i="1"/>
  <c r="R140" i="1"/>
  <c r="R4" i="1"/>
  <c r="R302" i="1"/>
  <c r="R93" i="1"/>
  <c r="R36" i="1"/>
  <c r="R44" i="1"/>
  <c r="R143" i="1"/>
  <c r="R225" i="1"/>
  <c r="R9" i="1"/>
  <c r="R117" i="1"/>
  <c r="R219" i="1"/>
  <c r="R227" i="1"/>
  <c r="R221" i="1"/>
  <c r="R161" i="1"/>
  <c r="R2" i="1"/>
  <c r="R30" i="1"/>
  <c r="R106" i="1"/>
  <c r="R21" i="1"/>
  <c r="R329" i="1"/>
  <c r="R170" i="1"/>
  <c r="R51" i="1"/>
  <c r="R142" i="1"/>
  <c r="R135" i="1"/>
  <c r="R166" i="1"/>
  <c r="R179" i="1"/>
  <c r="R322" i="1"/>
  <c r="R303" i="1"/>
  <c r="R232" i="1"/>
  <c r="R32" i="1"/>
  <c r="R35" i="1"/>
  <c r="R269" i="1"/>
  <c r="R173" i="1"/>
  <c r="R192" i="1"/>
  <c r="R81" i="1"/>
  <c r="R95" i="1"/>
  <c r="R327" i="1"/>
  <c r="R26" i="1"/>
  <c r="R41" i="1"/>
  <c r="R176" i="1"/>
  <c r="R141" i="1"/>
  <c r="R271" i="1"/>
  <c r="R196" i="1"/>
  <c r="R71" i="1"/>
  <c r="R251" i="1"/>
  <c r="R139" i="1"/>
  <c r="R289" i="1"/>
  <c r="R128" i="1"/>
  <c r="R31" i="1"/>
  <c r="R220" i="1"/>
  <c r="R308" i="1"/>
  <c r="R204" i="1"/>
  <c r="R94" i="1"/>
  <c r="R259" i="1"/>
  <c r="R247" i="1"/>
  <c r="R72" i="1"/>
  <c r="R118" i="1"/>
  <c r="R39" i="1"/>
  <c r="R103" i="1"/>
  <c r="R217" i="1"/>
  <c r="R210" i="1"/>
  <c r="R262" i="1"/>
  <c r="R152" i="1"/>
  <c r="R298" i="1"/>
  <c r="R17" i="1"/>
  <c r="R277" i="1"/>
  <c r="R268" i="1"/>
  <c r="R177" i="1"/>
  <c r="R226" i="1"/>
  <c r="R282" i="1"/>
  <c r="R283" i="1"/>
  <c r="R330" i="1"/>
  <c r="R92" i="1"/>
  <c r="R323" i="1"/>
  <c r="R149" i="1"/>
  <c r="R321" i="1"/>
  <c r="R309" i="1"/>
  <c r="R70" i="1"/>
  <c r="R144" i="1"/>
  <c r="R96" i="1"/>
  <c r="R86" i="1"/>
  <c r="R281" i="1"/>
  <c r="R62" i="1"/>
  <c r="R311" i="1"/>
  <c r="R120" i="1"/>
  <c r="R156" i="1"/>
  <c r="R205" i="1"/>
  <c r="R180" i="1"/>
  <c r="R48" i="1"/>
  <c r="R57" i="1"/>
  <c r="R203" i="1"/>
  <c r="R160" i="1"/>
  <c r="R270" i="1"/>
  <c r="R310" i="1"/>
  <c r="R228" i="1"/>
  <c r="R114" i="1"/>
  <c r="R5" i="1"/>
  <c r="R183" i="1"/>
  <c r="R182" i="1"/>
  <c r="R316" i="1"/>
  <c r="R318" i="1"/>
  <c r="R80" i="1"/>
  <c r="R145" i="1"/>
  <c r="R231" i="1"/>
  <c r="R110" i="1"/>
  <c r="R59" i="1"/>
  <c r="R56" i="1"/>
  <c r="R174" i="1"/>
  <c r="R73" i="1"/>
  <c r="R276" i="1"/>
  <c r="R157" i="1"/>
  <c r="R29" i="1"/>
  <c r="R127" i="1"/>
  <c r="R274" i="1"/>
  <c r="R263" i="1"/>
  <c r="R288" i="1"/>
  <c r="R147" i="1"/>
  <c r="R113" i="1"/>
  <c r="R255" i="1"/>
  <c r="R146" i="1"/>
  <c r="R167" i="1"/>
  <c r="R187" i="1"/>
  <c r="R119" i="1"/>
  <c r="R235" i="1"/>
  <c r="R54" i="1"/>
  <c r="R242" i="1"/>
  <c r="R61" i="1"/>
  <c r="R33" i="1"/>
  <c r="R154" i="1"/>
  <c r="P218" i="1"/>
  <c r="P252" i="1"/>
  <c r="P307" i="1"/>
  <c r="P301" i="1"/>
  <c r="P58" i="1"/>
  <c r="P229" i="1"/>
  <c r="P181" i="1"/>
  <c r="P216" i="1"/>
  <c r="P99" i="1"/>
  <c r="P40" i="1"/>
  <c r="P238" i="1"/>
  <c r="P134" i="1"/>
  <c r="P184" i="1"/>
  <c r="P137" i="1"/>
  <c r="P300" i="1"/>
  <c r="P250" i="1"/>
  <c r="P52" i="1"/>
  <c r="P188" i="1"/>
  <c r="P209" i="1"/>
  <c r="P129" i="1"/>
  <c r="P190" i="1"/>
  <c r="P237" i="1"/>
  <c r="P257" i="1"/>
  <c r="P314" i="1"/>
  <c r="P18" i="1"/>
  <c r="P213" i="1"/>
  <c r="P186" i="1"/>
  <c r="P10" i="1"/>
  <c r="P328" i="1"/>
  <c r="P122" i="1"/>
  <c r="P265" i="1"/>
  <c r="P25" i="1"/>
  <c r="P240" i="1"/>
  <c r="P164" i="1"/>
  <c r="P109" i="1"/>
  <c r="P171" i="1"/>
  <c r="P256" i="1"/>
  <c r="P151" i="1"/>
  <c r="P286" i="1"/>
  <c r="P112" i="1"/>
  <c r="P193" i="1"/>
  <c r="P315" i="1"/>
  <c r="P325" i="1"/>
  <c r="P108" i="1"/>
  <c r="P239" i="1"/>
  <c r="P253" i="1"/>
  <c r="P178" i="1"/>
  <c r="P77" i="1"/>
  <c r="P201" i="1"/>
  <c r="P199" i="1"/>
  <c r="P60" i="1"/>
  <c r="P320" i="1"/>
  <c r="P66" i="1"/>
  <c r="P241" i="1"/>
  <c r="P279" i="1"/>
  <c r="P324" i="1"/>
  <c r="P230" i="1"/>
  <c r="P28" i="1"/>
  <c r="P37" i="1"/>
  <c r="P69" i="1"/>
  <c r="P78" i="1"/>
  <c r="P79" i="1"/>
  <c r="P90" i="1"/>
  <c r="P125" i="1"/>
  <c r="P107" i="1"/>
  <c r="P50" i="1"/>
  <c r="P224" i="1"/>
  <c r="P15" i="1"/>
  <c r="P223" i="1"/>
  <c r="P197" i="1"/>
  <c r="P34" i="1"/>
  <c r="P194" i="1"/>
  <c r="P165" i="1"/>
  <c r="P317" i="1"/>
  <c r="P24" i="1"/>
  <c r="P124" i="1"/>
  <c r="P267" i="1"/>
  <c r="P319" i="1"/>
  <c r="P16" i="1"/>
  <c r="P82" i="1"/>
  <c r="P22" i="1"/>
  <c r="P198" i="1"/>
  <c r="P306" i="1"/>
  <c r="P100" i="1"/>
  <c r="P169" i="1"/>
  <c r="P63" i="1"/>
  <c r="P64" i="1"/>
  <c r="P185" i="1"/>
  <c r="P273" i="1"/>
  <c r="P23" i="1"/>
  <c r="P126" i="1"/>
  <c r="P67" i="1"/>
  <c r="P8" i="1"/>
  <c r="P222" i="1"/>
  <c r="P189" i="1"/>
  <c r="P136" i="1"/>
  <c r="P260" i="1"/>
  <c r="P207" i="1"/>
  <c r="P244" i="1"/>
  <c r="P249" i="1"/>
  <c r="P212" i="1"/>
  <c r="P208" i="1"/>
  <c r="P214" i="1"/>
  <c r="P211" i="1"/>
  <c r="P148" i="1"/>
  <c r="P14" i="1"/>
  <c r="P200" i="1"/>
  <c r="P291" i="1"/>
  <c r="P292" i="1"/>
  <c r="P49" i="1"/>
  <c r="P105" i="1"/>
  <c r="P68" i="1"/>
  <c r="P287" i="1"/>
  <c r="P138" i="1"/>
  <c r="P150" i="1"/>
  <c r="P278" i="1"/>
  <c r="P84" i="1"/>
  <c r="P133" i="1"/>
  <c r="P175" i="1"/>
  <c r="P115" i="1"/>
  <c r="P20" i="1"/>
  <c r="P261" i="1"/>
  <c r="P272" i="1"/>
  <c r="P11" i="1"/>
  <c r="P130" i="1"/>
  <c r="P326" i="1"/>
  <c r="P6" i="1"/>
  <c r="P168" i="1"/>
  <c r="P305" i="1"/>
  <c r="P280" i="1"/>
  <c r="P89" i="1"/>
  <c r="P264" i="1"/>
  <c r="P102" i="1"/>
  <c r="P38" i="1"/>
  <c r="P98" i="1"/>
  <c r="P111" i="1"/>
  <c r="P304" i="1"/>
  <c r="P293" i="1"/>
  <c r="P234" i="1"/>
  <c r="P3" i="1"/>
  <c r="P104" i="1"/>
  <c r="P13" i="1"/>
  <c r="P245" i="1"/>
  <c r="P296" i="1"/>
  <c r="P313" i="1"/>
  <c r="P47" i="1"/>
  <c r="P132" i="1"/>
  <c r="P131" i="1"/>
  <c r="P215" i="1"/>
  <c r="P258" i="1"/>
  <c r="P275" i="1"/>
  <c r="P101" i="1"/>
  <c r="P83" i="1"/>
  <c r="P123" i="1"/>
  <c r="P312" i="1"/>
  <c r="P88" i="1"/>
  <c r="P91" i="1"/>
  <c r="P163" i="1"/>
  <c r="P12" i="1"/>
  <c r="P74" i="1"/>
  <c r="P43" i="1"/>
  <c r="P42" i="1"/>
  <c r="P299" i="1"/>
  <c r="P248" i="1"/>
  <c r="P121" i="1"/>
  <c r="P27" i="1"/>
  <c r="P75" i="1"/>
  <c r="P297" i="1"/>
  <c r="P266" i="1"/>
  <c r="P162" i="1"/>
  <c r="P53" i="1"/>
  <c r="P285" i="1"/>
  <c r="P65" i="1"/>
  <c r="P55" i="1"/>
  <c r="P19" i="1"/>
  <c r="P97" i="1"/>
  <c r="P202" i="1"/>
  <c r="P87" i="1"/>
  <c r="P116" i="1"/>
  <c r="P246" i="1"/>
  <c r="P172" i="1"/>
  <c r="P153" i="1"/>
  <c r="P158" i="1"/>
  <c r="P85" i="1"/>
  <c r="P243" i="1"/>
  <c r="P76" i="1"/>
  <c r="P254" i="1"/>
  <c r="P155" i="1"/>
  <c r="P236" i="1"/>
  <c r="P46" i="1"/>
  <c r="P7" i="1"/>
  <c r="P290" i="1"/>
  <c r="P284" i="1"/>
  <c r="P191" i="1"/>
  <c r="P45" i="1"/>
  <c r="P233" i="1"/>
  <c r="P206" i="1"/>
  <c r="P294" i="1"/>
  <c r="P295" i="1"/>
  <c r="P159" i="1"/>
  <c r="P195" i="1"/>
  <c r="P140" i="1"/>
  <c r="P4" i="1"/>
  <c r="P302" i="1"/>
  <c r="P93" i="1"/>
  <c r="P36" i="1"/>
  <c r="P44" i="1"/>
  <c r="P143" i="1"/>
  <c r="P225" i="1"/>
  <c r="P9" i="1"/>
  <c r="P117" i="1"/>
  <c r="P219" i="1"/>
  <c r="P227" i="1"/>
  <c r="P221" i="1"/>
  <c r="P161" i="1"/>
  <c r="P2" i="1"/>
  <c r="P30" i="1"/>
  <c r="P106" i="1"/>
  <c r="P21" i="1"/>
  <c r="P329" i="1"/>
  <c r="P170" i="1"/>
  <c r="P51" i="1"/>
  <c r="P142" i="1"/>
  <c r="P135" i="1"/>
  <c r="P166" i="1"/>
  <c r="P179" i="1"/>
  <c r="P322" i="1"/>
  <c r="P303" i="1"/>
  <c r="P232" i="1"/>
  <c r="P32" i="1"/>
  <c r="P35" i="1"/>
  <c r="P269" i="1"/>
  <c r="P173" i="1"/>
  <c r="P192" i="1"/>
  <c r="P81" i="1"/>
  <c r="P95" i="1"/>
  <c r="P327" i="1"/>
  <c r="P26" i="1"/>
  <c r="P41" i="1"/>
  <c r="P176" i="1"/>
  <c r="P141" i="1"/>
  <c r="P271" i="1"/>
  <c r="P196" i="1"/>
  <c r="P71" i="1"/>
  <c r="P251" i="1"/>
  <c r="P139" i="1"/>
  <c r="P289" i="1"/>
  <c r="P128" i="1"/>
  <c r="P31" i="1"/>
  <c r="P220" i="1"/>
  <c r="P308" i="1"/>
  <c r="P204" i="1"/>
  <c r="P94" i="1"/>
  <c r="P259" i="1"/>
  <c r="P247" i="1"/>
  <c r="P72" i="1"/>
  <c r="P118" i="1"/>
  <c r="P39" i="1"/>
  <c r="P103" i="1"/>
  <c r="P217" i="1"/>
  <c r="P210" i="1"/>
  <c r="P262" i="1"/>
  <c r="P152" i="1"/>
  <c r="P298" i="1"/>
  <c r="P17" i="1"/>
  <c r="P277" i="1"/>
  <c r="P268" i="1"/>
  <c r="P177" i="1"/>
  <c r="P226" i="1"/>
  <c r="P282" i="1"/>
  <c r="P283" i="1"/>
  <c r="P330" i="1"/>
  <c r="P92" i="1"/>
  <c r="P323" i="1"/>
  <c r="P149" i="1"/>
  <c r="P321" i="1"/>
  <c r="P309" i="1"/>
  <c r="P70" i="1"/>
  <c r="P144" i="1"/>
  <c r="P96" i="1"/>
  <c r="P86" i="1"/>
  <c r="P281" i="1"/>
  <c r="P62" i="1"/>
  <c r="P311" i="1"/>
  <c r="P120" i="1"/>
  <c r="P156" i="1"/>
  <c r="P205" i="1"/>
  <c r="P180" i="1"/>
  <c r="P48" i="1"/>
  <c r="P57" i="1"/>
  <c r="P203" i="1"/>
  <c r="P160" i="1"/>
  <c r="P270" i="1"/>
  <c r="P310" i="1"/>
  <c r="P228" i="1"/>
  <c r="P114" i="1"/>
  <c r="P5" i="1"/>
  <c r="P183" i="1"/>
  <c r="P182" i="1"/>
  <c r="P316" i="1"/>
  <c r="P318" i="1"/>
  <c r="P80" i="1"/>
  <c r="P145" i="1"/>
  <c r="P231" i="1"/>
  <c r="P110" i="1"/>
  <c r="P59" i="1"/>
  <c r="P56" i="1"/>
  <c r="P174" i="1"/>
  <c r="P73" i="1"/>
  <c r="P276" i="1"/>
  <c r="P157" i="1"/>
  <c r="P29" i="1"/>
  <c r="P127" i="1"/>
  <c r="P274" i="1"/>
  <c r="P263" i="1"/>
  <c r="P288" i="1"/>
  <c r="P147" i="1"/>
  <c r="P113" i="1"/>
  <c r="P255" i="1"/>
  <c r="P146" i="1"/>
  <c r="P167" i="1"/>
  <c r="P187" i="1"/>
  <c r="P119" i="1"/>
  <c r="P235" i="1"/>
  <c r="P54" i="1"/>
  <c r="P242" i="1"/>
  <c r="P61" i="1"/>
  <c r="P33" i="1"/>
  <c r="P154" i="1"/>
  <c r="N218" i="1"/>
  <c r="N252" i="1"/>
  <c r="N307" i="1"/>
  <c r="N301" i="1"/>
  <c r="N58" i="1"/>
  <c r="N229" i="1"/>
  <c r="N181" i="1"/>
  <c r="N216" i="1"/>
  <c r="N99" i="1"/>
  <c r="N40" i="1"/>
  <c r="N238" i="1"/>
  <c r="N134" i="1"/>
  <c r="N184" i="1"/>
  <c r="N137" i="1"/>
  <c r="N300" i="1"/>
  <c r="N250" i="1"/>
  <c r="N52" i="1"/>
  <c r="N188" i="1"/>
  <c r="N209" i="1"/>
  <c r="N129" i="1"/>
  <c r="N190" i="1"/>
  <c r="N237" i="1"/>
  <c r="N257" i="1"/>
  <c r="N314" i="1"/>
  <c r="N18" i="1"/>
  <c r="N213" i="1"/>
  <c r="N186" i="1"/>
  <c r="N10" i="1"/>
  <c r="N328" i="1"/>
  <c r="N122" i="1"/>
  <c r="N265" i="1"/>
  <c r="N25" i="1"/>
  <c r="N240" i="1"/>
  <c r="N164" i="1"/>
  <c r="N109" i="1"/>
  <c r="N171" i="1"/>
  <c r="N256" i="1"/>
  <c r="N151" i="1"/>
  <c r="N286" i="1"/>
  <c r="N112" i="1"/>
  <c r="N193" i="1"/>
  <c r="N315" i="1"/>
  <c r="N325" i="1"/>
  <c r="N108" i="1"/>
  <c r="N239" i="1"/>
  <c r="N253" i="1"/>
  <c r="N178" i="1"/>
  <c r="N77" i="1"/>
  <c r="N201" i="1"/>
  <c r="N199" i="1"/>
  <c r="N60" i="1"/>
  <c r="N320" i="1"/>
  <c r="N66" i="1"/>
  <c r="N241" i="1"/>
  <c r="N279" i="1"/>
  <c r="N324" i="1"/>
  <c r="N230" i="1"/>
  <c r="N28" i="1"/>
  <c r="N37" i="1"/>
  <c r="N69" i="1"/>
  <c r="N78" i="1"/>
  <c r="N79" i="1"/>
  <c r="N90" i="1"/>
  <c r="N125" i="1"/>
  <c r="N107" i="1"/>
  <c r="N50" i="1"/>
  <c r="N224" i="1"/>
  <c r="N15" i="1"/>
  <c r="N223" i="1"/>
  <c r="N197" i="1"/>
  <c r="N34" i="1"/>
  <c r="N194" i="1"/>
  <c r="N165" i="1"/>
  <c r="N317" i="1"/>
  <c r="N24" i="1"/>
  <c r="N124" i="1"/>
  <c r="N267" i="1"/>
  <c r="N319" i="1"/>
  <c r="N16" i="1"/>
  <c r="N82" i="1"/>
  <c r="N22" i="1"/>
  <c r="N198" i="1"/>
  <c r="N306" i="1"/>
  <c r="N100" i="1"/>
  <c r="N169" i="1"/>
  <c r="N63" i="1"/>
  <c r="N64" i="1"/>
  <c r="N185" i="1"/>
  <c r="N273" i="1"/>
  <c r="N23" i="1"/>
  <c r="N126" i="1"/>
  <c r="N67" i="1"/>
  <c r="N8" i="1"/>
  <c r="N222" i="1"/>
  <c r="N189" i="1"/>
  <c r="N136" i="1"/>
  <c r="N260" i="1"/>
  <c r="N207" i="1"/>
  <c r="N244" i="1"/>
  <c r="N249" i="1"/>
  <c r="N212" i="1"/>
  <c r="N208" i="1"/>
  <c r="N214" i="1"/>
  <c r="N211" i="1"/>
  <c r="N148" i="1"/>
  <c r="N14" i="1"/>
  <c r="N200" i="1"/>
  <c r="N291" i="1"/>
  <c r="N292" i="1"/>
  <c r="N49" i="1"/>
  <c r="N105" i="1"/>
  <c r="N68" i="1"/>
  <c r="N287" i="1"/>
  <c r="N138" i="1"/>
  <c r="N150" i="1"/>
  <c r="N278" i="1"/>
  <c r="N84" i="1"/>
  <c r="N133" i="1"/>
  <c r="N175" i="1"/>
  <c r="N115" i="1"/>
  <c r="N20" i="1"/>
  <c r="N261" i="1"/>
  <c r="N272" i="1"/>
  <c r="N11" i="1"/>
  <c r="N130" i="1"/>
  <c r="N326" i="1"/>
  <c r="N6" i="1"/>
  <c r="N168" i="1"/>
  <c r="N305" i="1"/>
  <c r="N280" i="1"/>
  <c r="N89" i="1"/>
  <c r="N264" i="1"/>
  <c r="N102" i="1"/>
  <c r="N38" i="1"/>
  <c r="N98" i="1"/>
  <c r="N111" i="1"/>
  <c r="N304" i="1"/>
  <c r="N293" i="1"/>
  <c r="N234" i="1"/>
  <c r="N3" i="1"/>
  <c r="N104" i="1"/>
  <c r="N13" i="1"/>
  <c r="N245" i="1"/>
  <c r="N296" i="1"/>
  <c r="N313" i="1"/>
  <c r="N47" i="1"/>
  <c r="N132" i="1"/>
  <c r="N131" i="1"/>
  <c r="N215" i="1"/>
  <c r="N258" i="1"/>
  <c r="N275" i="1"/>
  <c r="N101" i="1"/>
  <c r="N83" i="1"/>
  <c r="N123" i="1"/>
  <c r="N312" i="1"/>
  <c r="N88" i="1"/>
  <c r="N91" i="1"/>
  <c r="N163" i="1"/>
  <c r="N12" i="1"/>
  <c r="N74" i="1"/>
  <c r="N43" i="1"/>
  <c r="N42" i="1"/>
  <c r="N299" i="1"/>
  <c r="N248" i="1"/>
  <c r="N121" i="1"/>
  <c r="N27" i="1"/>
  <c r="N75" i="1"/>
  <c r="N297" i="1"/>
  <c r="N266" i="1"/>
  <c r="N162" i="1"/>
  <c r="N53" i="1"/>
  <c r="N285" i="1"/>
  <c r="N65" i="1"/>
  <c r="N55" i="1"/>
  <c r="N19" i="1"/>
  <c r="N97" i="1"/>
  <c r="N202" i="1"/>
  <c r="N87" i="1"/>
  <c r="N116" i="1"/>
  <c r="N246" i="1"/>
  <c r="N172" i="1"/>
  <c r="N153" i="1"/>
  <c r="N158" i="1"/>
  <c r="N85" i="1"/>
  <c r="N243" i="1"/>
  <c r="N76" i="1"/>
  <c r="N254" i="1"/>
  <c r="N155" i="1"/>
  <c r="N236" i="1"/>
  <c r="N46" i="1"/>
  <c r="N7" i="1"/>
  <c r="N290" i="1"/>
  <c r="N284" i="1"/>
  <c r="N191" i="1"/>
  <c r="N45" i="1"/>
  <c r="N233" i="1"/>
  <c r="N206" i="1"/>
  <c r="N294" i="1"/>
  <c r="N295" i="1"/>
  <c r="N159" i="1"/>
  <c r="N195" i="1"/>
  <c r="N140" i="1"/>
  <c r="N4" i="1"/>
  <c r="N302" i="1"/>
  <c r="N93" i="1"/>
  <c r="N36" i="1"/>
  <c r="N44" i="1"/>
  <c r="N143" i="1"/>
  <c r="N225" i="1"/>
  <c r="N9" i="1"/>
  <c r="N117" i="1"/>
  <c r="N219" i="1"/>
  <c r="N227" i="1"/>
  <c r="N221" i="1"/>
  <c r="N161" i="1"/>
  <c r="N2" i="1"/>
  <c r="N30" i="1"/>
  <c r="N106" i="1"/>
  <c r="N21" i="1"/>
  <c r="N329" i="1"/>
  <c r="N170" i="1"/>
  <c r="N51" i="1"/>
  <c r="N142" i="1"/>
  <c r="N135" i="1"/>
  <c r="N166" i="1"/>
  <c r="N179" i="1"/>
  <c r="N322" i="1"/>
  <c r="N303" i="1"/>
  <c r="N232" i="1"/>
  <c r="N32" i="1"/>
  <c r="N35" i="1"/>
  <c r="N269" i="1"/>
  <c r="N173" i="1"/>
  <c r="N192" i="1"/>
  <c r="N81" i="1"/>
  <c r="N95" i="1"/>
  <c r="N327" i="1"/>
  <c r="N26" i="1"/>
  <c r="N41" i="1"/>
  <c r="N176" i="1"/>
  <c r="N141" i="1"/>
  <c r="N271" i="1"/>
  <c r="N196" i="1"/>
  <c r="N71" i="1"/>
  <c r="N251" i="1"/>
  <c r="N139" i="1"/>
  <c r="N289" i="1"/>
  <c r="N128" i="1"/>
  <c r="N31" i="1"/>
  <c r="N220" i="1"/>
  <c r="N308" i="1"/>
  <c r="N204" i="1"/>
  <c r="N94" i="1"/>
  <c r="N259" i="1"/>
  <c r="N247" i="1"/>
  <c r="N72" i="1"/>
  <c r="N118" i="1"/>
  <c r="N39" i="1"/>
  <c r="N103" i="1"/>
  <c r="N217" i="1"/>
  <c r="N210" i="1"/>
  <c r="N262" i="1"/>
  <c r="N152" i="1"/>
  <c r="N298" i="1"/>
  <c r="N17" i="1"/>
  <c r="N277" i="1"/>
  <c r="N268" i="1"/>
  <c r="N177" i="1"/>
  <c r="N226" i="1"/>
  <c r="N282" i="1"/>
  <c r="N283" i="1"/>
  <c r="N330" i="1"/>
  <c r="N92" i="1"/>
  <c r="N323" i="1"/>
  <c r="N149" i="1"/>
  <c r="N321" i="1"/>
  <c r="N309" i="1"/>
  <c r="N70" i="1"/>
  <c r="N144" i="1"/>
  <c r="N96" i="1"/>
  <c r="N86" i="1"/>
  <c r="N281" i="1"/>
  <c r="N62" i="1"/>
  <c r="N311" i="1"/>
  <c r="N120" i="1"/>
  <c r="N156" i="1"/>
  <c r="N205" i="1"/>
  <c r="N180" i="1"/>
  <c r="N48" i="1"/>
  <c r="N57" i="1"/>
  <c r="N203" i="1"/>
  <c r="N160" i="1"/>
  <c r="N270" i="1"/>
  <c r="N310" i="1"/>
  <c r="N228" i="1"/>
  <c r="N114" i="1"/>
  <c r="N5" i="1"/>
  <c r="N183" i="1"/>
  <c r="N182" i="1"/>
  <c r="N316" i="1"/>
  <c r="N318" i="1"/>
  <c r="N80" i="1"/>
  <c r="N145" i="1"/>
  <c r="N231" i="1"/>
  <c r="N110" i="1"/>
  <c r="N59" i="1"/>
  <c r="N56" i="1"/>
  <c r="N174" i="1"/>
  <c r="N73" i="1"/>
  <c r="N276" i="1"/>
  <c r="N157" i="1"/>
  <c r="N29" i="1"/>
  <c r="N127" i="1"/>
  <c r="N274" i="1"/>
  <c r="N263" i="1"/>
  <c r="N288" i="1"/>
  <c r="N147" i="1"/>
  <c r="N113" i="1"/>
  <c r="N255" i="1"/>
  <c r="N146" i="1"/>
  <c r="N167" i="1"/>
  <c r="N187" i="1"/>
  <c r="N119" i="1"/>
  <c r="N235" i="1"/>
  <c r="N54" i="1"/>
  <c r="N242" i="1"/>
  <c r="N61" i="1"/>
  <c r="N33" i="1"/>
  <c r="N154" i="1"/>
  <c r="L218" i="1"/>
  <c r="L252" i="1"/>
  <c r="L307" i="1"/>
  <c r="L301" i="1"/>
  <c r="L58" i="1"/>
  <c r="L229" i="1"/>
  <c r="L181" i="1"/>
  <c r="L216" i="1"/>
  <c r="L99" i="1"/>
  <c r="L40" i="1"/>
  <c r="L238" i="1"/>
  <c r="L134" i="1"/>
  <c r="L184" i="1"/>
  <c r="L137" i="1"/>
  <c r="L300" i="1"/>
  <c r="L250" i="1"/>
  <c r="L52" i="1"/>
  <c r="L188" i="1"/>
  <c r="L209" i="1"/>
  <c r="L129" i="1"/>
  <c r="L190" i="1"/>
  <c r="L237" i="1"/>
  <c r="L257" i="1"/>
  <c r="L314" i="1"/>
  <c r="L18" i="1"/>
  <c r="L213" i="1"/>
  <c r="L186" i="1"/>
  <c r="L10" i="1"/>
  <c r="L328" i="1"/>
  <c r="L122" i="1"/>
  <c r="L265" i="1"/>
  <c r="L25" i="1"/>
  <c r="L240" i="1"/>
  <c r="L164" i="1"/>
  <c r="L109" i="1"/>
  <c r="L171" i="1"/>
  <c r="L256" i="1"/>
  <c r="L151" i="1"/>
  <c r="L286" i="1"/>
  <c r="L112" i="1"/>
  <c r="L193" i="1"/>
  <c r="L315" i="1"/>
  <c r="L325" i="1"/>
  <c r="L108" i="1"/>
  <c r="L239" i="1"/>
  <c r="L253" i="1"/>
  <c r="L178" i="1"/>
  <c r="L77" i="1"/>
  <c r="L201" i="1"/>
  <c r="L199" i="1"/>
  <c r="L60" i="1"/>
  <c r="L320" i="1"/>
  <c r="L66" i="1"/>
  <c r="L241" i="1"/>
  <c r="L279" i="1"/>
  <c r="L324" i="1"/>
  <c r="L230" i="1"/>
  <c r="L28" i="1"/>
  <c r="L37" i="1"/>
  <c r="L69" i="1"/>
  <c r="L78" i="1"/>
  <c r="L79" i="1"/>
  <c r="L90" i="1"/>
  <c r="L125" i="1"/>
  <c r="L107" i="1"/>
  <c r="L50" i="1"/>
  <c r="L224" i="1"/>
  <c r="L15" i="1"/>
  <c r="L223" i="1"/>
  <c r="L197" i="1"/>
  <c r="L34" i="1"/>
  <c r="L194" i="1"/>
  <c r="L165" i="1"/>
  <c r="L317" i="1"/>
  <c r="L24" i="1"/>
  <c r="L124" i="1"/>
  <c r="L267" i="1"/>
  <c r="L319" i="1"/>
  <c r="L16" i="1"/>
  <c r="L82" i="1"/>
  <c r="L22" i="1"/>
  <c r="L198" i="1"/>
  <c r="L306" i="1"/>
  <c r="L100" i="1"/>
  <c r="L169" i="1"/>
  <c r="L63" i="1"/>
  <c r="L64" i="1"/>
  <c r="L185" i="1"/>
  <c r="L273" i="1"/>
  <c r="L23" i="1"/>
  <c r="L126" i="1"/>
  <c r="L67" i="1"/>
  <c r="L8" i="1"/>
  <c r="L222" i="1"/>
  <c r="L189" i="1"/>
  <c r="L136" i="1"/>
  <c r="L260" i="1"/>
  <c r="L207" i="1"/>
  <c r="L244" i="1"/>
  <c r="L249" i="1"/>
  <c r="L212" i="1"/>
  <c r="L208" i="1"/>
  <c r="L214" i="1"/>
  <c r="L211" i="1"/>
  <c r="L148" i="1"/>
  <c r="L14" i="1"/>
  <c r="L200" i="1"/>
  <c r="L291" i="1"/>
  <c r="L292" i="1"/>
  <c r="L49" i="1"/>
  <c r="L105" i="1"/>
  <c r="L68" i="1"/>
  <c r="L287" i="1"/>
  <c r="L138" i="1"/>
  <c r="L150" i="1"/>
  <c r="L278" i="1"/>
  <c r="L84" i="1"/>
  <c r="L133" i="1"/>
  <c r="L175" i="1"/>
  <c r="L115" i="1"/>
  <c r="L20" i="1"/>
  <c r="L261" i="1"/>
  <c r="L272" i="1"/>
  <c r="L11" i="1"/>
  <c r="L130" i="1"/>
  <c r="L326" i="1"/>
  <c r="L6" i="1"/>
  <c r="L168" i="1"/>
  <c r="L305" i="1"/>
  <c r="L280" i="1"/>
  <c r="L89" i="1"/>
  <c r="L264" i="1"/>
  <c r="L102" i="1"/>
  <c r="L38" i="1"/>
  <c r="L98" i="1"/>
  <c r="L111" i="1"/>
  <c r="L304" i="1"/>
  <c r="L293" i="1"/>
  <c r="L234" i="1"/>
  <c r="L3" i="1"/>
  <c r="L104" i="1"/>
  <c r="L13" i="1"/>
  <c r="L245" i="1"/>
  <c r="L296" i="1"/>
  <c r="L313" i="1"/>
  <c r="L47" i="1"/>
  <c r="L132" i="1"/>
  <c r="L131" i="1"/>
  <c r="L215" i="1"/>
  <c r="L258" i="1"/>
  <c r="L275" i="1"/>
  <c r="L101" i="1"/>
  <c r="L83" i="1"/>
  <c r="L123" i="1"/>
  <c r="L312" i="1"/>
  <c r="L88" i="1"/>
  <c r="L91" i="1"/>
  <c r="L163" i="1"/>
  <c r="L12" i="1"/>
  <c r="L74" i="1"/>
  <c r="L43" i="1"/>
  <c r="L42" i="1"/>
  <c r="L299" i="1"/>
  <c r="L248" i="1"/>
  <c r="L121" i="1"/>
  <c r="L27" i="1"/>
  <c r="L75" i="1"/>
  <c r="L297" i="1"/>
  <c r="L266" i="1"/>
  <c r="L162" i="1"/>
  <c r="L53" i="1"/>
  <c r="L285" i="1"/>
  <c r="L65" i="1"/>
  <c r="L55" i="1"/>
  <c r="L19" i="1"/>
  <c r="L97" i="1"/>
  <c r="L202" i="1"/>
  <c r="L87" i="1"/>
  <c r="L116" i="1"/>
  <c r="L246" i="1"/>
  <c r="L172" i="1"/>
  <c r="L153" i="1"/>
  <c r="L158" i="1"/>
  <c r="L85" i="1"/>
  <c r="L243" i="1"/>
  <c r="L76" i="1"/>
  <c r="L254" i="1"/>
  <c r="L155" i="1"/>
  <c r="L236" i="1"/>
  <c r="L46" i="1"/>
  <c r="L7" i="1"/>
  <c r="L290" i="1"/>
  <c r="L284" i="1"/>
  <c r="L191" i="1"/>
  <c r="L45" i="1"/>
  <c r="L233" i="1"/>
  <c r="L206" i="1"/>
  <c r="L294" i="1"/>
  <c r="L295" i="1"/>
  <c r="L159" i="1"/>
  <c r="L195" i="1"/>
  <c r="L140" i="1"/>
  <c r="L4" i="1"/>
  <c r="L302" i="1"/>
  <c r="L93" i="1"/>
  <c r="L36" i="1"/>
  <c r="L44" i="1"/>
  <c r="L143" i="1"/>
  <c r="L225" i="1"/>
  <c r="L9" i="1"/>
  <c r="L117" i="1"/>
  <c r="L219" i="1"/>
  <c r="L227" i="1"/>
  <c r="L221" i="1"/>
  <c r="L161" i="1"/>
  <c r="L2" i="1"/>
  <c r="L30" i="1"/>
  <c r="L106" i="1"/>
  <c r="L21" i="1"/>
  <c r="L329" i="1"/>
  <c r="L170" i="1"/>
  <c r="L51" i="1"/>
  <c r="L142" i="1"/>
  <c r="L135" i="1"/>
  <c r="L166" i="1"/>
  <c r="L179" i="1"/>
  <c r="L322" i="1"/>
  <c r="L303" i="1"/>
  <c r="L232" i="1"/>
  <c r="L32" i="1"/>
  <c r="L35" i="1"/>
  <c r="L269" i="1"/>
  <c r="L173" i="1"/>
  <c r="L192" i="1"/>
  <c r="L81" i="1"/>
  <c r="L95" i="1"/>
  <c r="L327" i="1"/>
  <c r="L26" i="1"/>
  <c r="L41" i="1"/>
  <c r="L176" i="1"/>
  <c r="L141" i="1"/>
  <c r="L271" i="1"/>
  <c r="L196" i="1"/>
  <c r="L71" i="1"/>
  <c r="L251" i="1"/>
  <c r="L139" i="1"/>
  <c r="L289" i="1"/>
  <c r="L128" i="1"/>
  <c r="L31" i="1"/>
  <c r="L220" i="1"/>
  <c r="L308" i="1"/>
  <c r="L204" i="1"/>
  <c r="L94" i="1"/>
  <c r="L259" i="1"/>
  <c r="L247" i="1"/>
  <c r="L72" i="1"/>
  <c r="L118" i="1"/>
  <c r="L39" i="1"/>
  <c r="L103" i="1"/>
  <c r="L217" i="1"/>
  <c r="L210" i="1"/>
  <c r="L262" i="1"/>
  <c r="L152" i="1"/>
  <c r="L298" i="1"/>
  <c r="L17" i="1"/>
  <c r="L277" i="1"/>
  <c r="L268" i="1"/>
  <c r="L177" i="1"/>
  <c r="L226" i="1"/>
  <c r="L282" i="1"/>
  <c r="L283" i="1"/>
  <c r="L330" i="1"/>
  <c r="L92" i="1"/>
  <c r="L323" i="1"/>
  <c r="L149" i="1"/>
  <c r="L321" i="1"/>
  <c r="L309" i="1"/>
  <c r="L70" i="1"/>
  <c r="L144" i="1"/>
  <c r="L96" i="1"/>
  <c r="L86" i="1"/>
  <c r="L281" i="1"/>
  <c r="L62" i="1"/>
  <c r="L311" i="1"/>
  <c r="L120" i="1"/>
  <c r="L156" i="1"/>
  <c r="L205" i="1"/>
  <c r="L180" i="1"/>
  <c r="L48" i="1"/>
  <c r="L57" i="1"/>
  <c r="L203" i="1"/>
  <c r="L160" i="1"/>
  <c r="L270" i="1"/>
  <c r="L310" i="1"/>
  <c r="L228" i="1"/>
  <c r="L114" i="1"/>
  <c r="L5" i="1"/>
  <c r="L183" i="1"/>
  <c r="L182" i="1"/>
  <c r="L316" i="1"/>
  <c r="L318" i="1"/>
  <c r="L80" i="1"/>
  <c r="L145" i="1"/>
  <c r="L231" i="1"/>
  <c r="L110" i="1"/>
  <c r="L59" i="1"/>
  <c r="L56" i="1"/>
  <c r="L174" i="1"/>
  <c r="L73" i="1"/>
  <c r="L276" i="1"/>
  <c r="L157" i="1"/>
  <c r="L29" i="1"/>
  <c r="L127" i="1"/>
  <c r="L274" i="1"/>
  <c r="L263" i="1"/>
  <c r="L288" i="1"/>
  <c r="L147" i="1"/>
  <c r="L113" i="1"/>
  <c r="L255" i="1"/>
  <c r="L146" i="1"/>
  <c r="L167" i="1"/>
  <c r="L187" i="1"/>
  <c r="L119" i="1"/>
  <c r="L235" i="1"/>
  <c r="L54" i="1"/>
  <c r="L242" i="1"/>
  <c r="L61" i="1"/>
  <c r="L33" i="1"/>
  <c r="L154" i="1"/>
  <c r="J218" i="1"/>
  <c r="J252" i="1"/>
  <c r="J307" i="1"/>
  <c r="J301" i="1"/>
  <c r="J58" i="1"/>
  <c r="J229" i="1"/>
  <c r="J181" i="1"/>
  <c r="J216" i="1"/>
  <c r="J99" i="1"/>
  <c r="J40" i="1"/>
  <c r="J238" i="1"/>
  <c r="J134" i="1"/>
  <c r="J184" i="1"/>
  <c r="J137" i="1"/>
  <c r="J300" i="1"/>
  <c r="J250" i="1"/>
  <c r="J52" i="1"/>
  <c r="J188" i="1"/>
  <c r="J209" i="1"/>
  <c r="J129" i="1"/>
  <c r="J190" i="1"/>
  <c r="J237" i="1"/>
  <c r="J257" i="1"/>
  <c r="J314" i="1"/>
  <c r="J18" i="1"/>
  <c r="J213" i="1"/>
  <c r="J186" i="1"/>
  <c r="J10" i="1"/>
  <c r="J328" i="1"/>
  <c r="J122" i="1"/>
  <c r="J265" i="1"/>
  <c r="J25" i="1"/>
  <c r="J240" i="1"/>
  <c r="J164" i="1"/>
  <c r="J109" i="1"/>
  <c r="J171" i="1"/>
  <c r="J256" i="1"/>
  <c r="J151" i="1"/>
  <c r="J286" i="1"/>
  <c r="J112" i="1"/>
  <c r="J193" i="1"/>
  <c r="J315" i="1"/>
  <c r="J325" i="1"/>
  <c r="J108" i="1"/>
  <c r="J239" i="1"/>
  <c r="J253" i="1"/>
  <c r="J178" i="1"/>
  <c r="J77" i="1"/>
  <c r="J201" i="1"/>
  <c r="J199" i="1"/>
  <c r="J60" i="1"/>
  <c r="J320" i="1"/>
  <c r="J66" i="1"/>
  <c r="J241" i="1"/>
  <c r="J279" i="1"/>
  <c r="J324" i="1"/>
  <c r="J230" i="1"/>
  <c r="J28" i="1"/>
  <c r="J37" i="1"/>
  <c r="J69" i="1"/>
  <c r="J78" i="1"/>
  <c r="J79" i="1"/>
  <c r="J90" i="1"/>
  <c r="J125" i="1"/>
  <c r="J107" i="1"/>
  <c r="J50" i="1"/>
  <c r="J224" i="1"/>
  <c r="J15" i="1"/>
  <c r="J223" i="1"/>
  <c r="J197" i="1"/>
  <c r="J34" i="1"/>
  <c r="J194" i="1"/>
  <c r="J165" i="1"/>
  <c r="J317" i="1"/>
  <c r="J24" i="1"/>
  <c r="J124" i="1"/>
  <c r="J267" i="1"/>
  <c r="J319" i="1"/>
  <c r="J16" i="1"/>
  <c r="J82" i="1"/>
  <c r="J22" i="1"/>
  <c r="J198" i="1"/>
  <c r="J306" i="1"/>
  <c r="J100" i="1"/>
  <c r="J169" i="1"/>
  <c r="J63" i="1"/>
  <c r="J64" i="1"/>
  <c r="J185" i="1"/>
  <c r="J273" i="1"/>
  <c r="J23" i="1"/>
  <c r="J126" i="1"/>
  <c r="J67" i="1"/>
  <c r="J8" i="1"/>
  <c r="J222" i="1"/>
  <c r="J189" i="1"/>
  <c r="J136" i="1"/>
  <c r="J260" i="1"/>
  <c r="J207" i="1"/>
  <c r="J244" i="1"/>
  <c r="J249" i="1"/>
  <c r="J212" i="1"/>
  <c r="J208" i="1"/>
  <c r="J214" i="1"/>
  <c r="J211" i="1"/>
  <c r="J148" i="1"/>
  <c r="J14" i="1"/>
  <c r="J200" i="1"/>
  <c r="J291" i="1"/>
  <c r="J292" i="1"/>
  <c r="J49" i="1"/>
  <c r="J105" i="1"/>
  <c r="J68" i="1"/>
  <c r="J287" i="1"/>
  <c r="J138" i="1"/>
  <c r="J150" i="1"/>
  <c r="J278" i="1"/>
  <c r="J84" i="1"/>
  <c r="J133" i="1"/>
  <c r="J175" i="1"/>
  <c r="J115" i="1"/>
  <c r="J20" i="1"/>
  <c r="J261" i="1"/>
  <c r="J272" i="1"/>
  <c r="J11" i="1"/>
  <c r="J130" i="1"/>
  <c r="J326" i="1"/>
  <c r="J6" i="1"/>
  <c r="J168" i="1"/>
  <c r="J305" i="1"/>
  <c r="J280" i="1"/>
  <c r="J89" i="1"/>
  <c r="J264" i="1"/>
  <c r="J102" i="1"/>
  <c r="J38" i="1"/>
  <c r="J98" i="1"/>
  <c r="J111" i="1"/>
  <c r="J304" i="1"/>
  <c r="J293" i="1"/>
  <c r="J234" i="1"/>
  <c r="J3" i="1"/>
  <c r="J104" i="1"/>
  <c r="J13" i="1"/>
  <c r="J245" i="1"/>
  <c r="J296" i="1"/>
  <c r="J313" i="1"/>
  <c r="J47" i="1"/>
  <c r="J132" i="1"/>
  <c r="J131" i="1"/>
  <c r="J215" i="1"/>
  <c r="J258" i="1"/>
  <c r="J275" i="1"/>
  <c r="J101" i="1"/>
  <c r="J83" i="1"/>
  <c r="J123" i="1"/>
  <c r="J312" i="1"/>
  <c r="J88" i="1"/>
  <c r="J91" i="1"/>
  <c r="J163" i="1"/>
  <c r="J12" i="1"/>
  <c r="J74" i="1"/>
  <c r="J43" i="1"/>
  <c r="J42" i="1"/>
  <c r="J299" i="1"/>
  <c r="J248" i="1"/>
  <c r="J121" i="1"/>
  <c r="J27" i="1"/>
  <c r="J75" i="1"/>
  <c r="J297" i="1"/>
  <c r="J266" i="1"/>
  <c r="J162" i="1"/>
  <c r="J53" i="1"/>
  <c r="J285" i="1"/>
  <c r="J65" i="1"/>
  <c r="J55" i="1"/>
  <c r="J19" i="1"/>
  <c r="J97" i="1"/>
  <c r="J202" i="1"/>
  <c r="J87" i="1"/>
  <c r="J116" i="1"/>
  <c r="J246" i="1"/>
  <c r="J172" i="1"/>
  <c r="J153" i="1"/>
  <c r="J158" i="1"/>
  <c r="J85" i="1"/>
  <c r="J243" i="1"/>
  <c r="J76" i="1"/>
  <c r="J254" i="1"/>
  <c r="J155" i="1"/>
  <c r="J236" i="1"/>
  <c r="J46" i="1"/>
  <c r="J7" i="1"/>
  <c r="J290" i="1"/>
  <c r="J284" i="1"/>
  <c r="J191" i="1"/>
  <c r="J45" i="1"/>
  <c r="J233" i="1"/>
  <c r="J206" i="1"/>
  <c r="J294" i="1"/>
  <c r="J295" i="1"/>
  <c r="J159" i="1"/>
  <c r="J195" i="1"/>
  <c r="J140" i="1"/>
  <c r="J4" i="1"/>
  <c r="J302" i="1"/>
  <c r="J93" i="1"/>
  <c r="J36" i="1"/>
  <c r="J44" i="1"/>
  <c r="J143" i="1"/>
  <c r="J225" i="1"/>
  <c r="J9" i="1"/>
  <c r="J117" i="1"/>
  <c r="J219" i="1"/>
  <c r="J227" i="1"/>
  <c r="J221" i="1"/>
  <c r="J161" i="1"/>
  <c r="J2" i="1"/>
  <c r="J30" i="1"/>
  <c r="J106" i="1"/>
  <c r="J21" i="1"/>
  <c r="J329" i="1"/>
  <c r="J170" i="1"/>
  <c r="J51" i="1"/>
  <c r="J142" i="1"/>
  <c r="J135" i="1"/>
  <c r="J166" i="1"/>
  <c r="J179" i="1"/>
  <c r="J322" i="1"/>
  <c r="J303" i="1"/>
  <c r="J232" i="1"/>
  <c r="J32" i="1"/>
  <c r="J35" i="1"/>
  <c r="J269" i="1"/>
  <c r="J173" i="1"/>
  <c r="J192" i="1"/>
  <c r="J81" i="1"/>
  <c r="J95" i="1"/>
  <c r="J327" i="1"/>
  <c r="J26" i="1"/>
  <c r="J41" i="1"/>
  <c r="J176" i="1"/>
  <c r="J141" i="1"/>
  <c r="J271" i="1"/>
  <c r="J196" i="1"/>
  <c r="J71" i="1"/>
  <c r="J251" i="1"/>
  <c r="J139" i="1"/>
  <c r="J289" i="1"/>
  <c r="J128" i="1"/>
  <c r="J31" i="1"/>
  <c r="J220" i="1"/>
  <c r="J308" i="1"/>
  <c r="J204" i="1"/>
  <c r="J94" i="1"/>
  <c r="J259" i="1"/>
  <c r="J247" i="1"/>
  <c r="J72" i="1"/>
  <c r="J118" i="1"/>
  <c r="J39" i="1"/>
  <c r="J103" i="1"/>
  <c r="J217" i="1"/>
  <c r="J210" i="1"/>
  <c r="J262" i="1"/>
  <c r="J152" i="1"/>
  <c r="J298" i="1"/>
  <c r="J17" i="1"/>
  <c r="J277" i="1"/>
  <c r="J268" i="1"/>
  <c r="J177" i="1"/>
  <c r="J226" i="1"/>
  <c r="J282" i="1"/>
  <c r="J283" i="1"/>
  <c r="J330" i="1"/>
  <c r="J92" i="1"/>
  <c r="J323" i="1"/>
  <c r="J149" i="1"/>
  <c r="J321" i="1"/>
  <c r="J309" i="1"/>
  <c r="J70" i="1"/>
  <c r="J144" i="1"/>
  <c r="J96" i="1"/>
  <c r="J86" i="1"/>
  <c r="J281" i="1"/>
  <c r="J62" i="1"/>
  <c r="J311" i="1"/>
  <c r="J120" i="1"/>
  <c r="J156" i="1"/>
  <c r="J205" i="1"/>
  <c r="J180" i="1"/>
  <c r="J48" i="1"/>
  <c r="J57" i="1"/>
  <c r="J203" i="1"/>
  <c r="J160" i="1"/>
  <c r="J270" i="1"/>
  <c r="J310" i="1"/>
  <c r="J228" i="1"/>
  <c r="J114" i="1"/>
  <c r="J5" i="1"/>
  <c r="J183" i="1"/>
  <c r="J182" i="1"/>
  <c r="J316" i="1"/>
  <c r="J318" i="1"/>
  <c r="J80" i="1"/>
  <c r="J145" i="1"/>
  <c r="J231" i="1"/>
  <c r="J110" i="1"/>
  <c r="J59" i="1"/>
  <c r="J56" i="1"/>
  <c r="J174" i="1"/>
  <c r="J73" i="1"/>
  <c r="J276" i="1"/>
  <c r="J157" i="1"/>
  <c r="J29" i="1"/>
  <c r="J127" i="1"/>
  <c r="J274" i="1"/>
  <c r="J263" i="1"/>
  <c r="J288" i="1"/>
  <c r="J147" i="1"/>
  <c r="J113" i="1"/>
  <c r="J255" i="1"/>
  <c r="J146" i="1"/>
  <c r="J167" i="1"/>
  <c r="J187" i="1"/>
  <c r="J119" i="1"/>
  <c r="J235" i="1"/>
  <c r="J54" i="1"/>
  <c r="J242" i="1"/>
  <c r="J61" i="1"/>
  <c r="J33" i="1"/>
  <c r="J154" i="1"/>
  <c r="H218" i="1"/>
  <c r="H252" i="1"/>
  <c r="H307" i="1"/>
  <c r="H301" i="1"/>
  <c r="H58" i="1"/>
  <c r="H229" i="1"/>
  <c r="H181" i="1"/>
  <c r="H216" i="1"/>
  <c r="H99" i="1"/>
  <c r="H40" i="1"/>
  <c r="H238" i="1"/>
  <c r="H134" i="1"/>
  <c r="H184" i="1"/>
  <c r="H137" i="1"/>
  <c r="H300" i="1"/>
  <c r="H250" i="1"/>
  <c r="H52" i="1"/>
  <c r="H188" i="1"/>
  <c r="H209" i="1"/>
  <c r="H129" i="1"/>
  <c r="H190" i="1"/>
  <c r="H237" i="1"/>
  <c r="H257" i="1"/>
  <c r="H314" i="1"/>
  <c r="H18" i="1"/>
  <c r="H213" i="1"/>
  <c r="H186" i="1"/>
  <c r="H10" i="1"/>
  <c r="H328" i="1"/>
  <c r="H122" i="1"/>
  <c r="H265" i="1"/>
  <c r="H25" i="1"/>
  <c r="H240" i="1"/>
  <c r="H164" i="1"/>
  <c r="H109" i="1"/>
  <c r="H171" i="1"/>
  <c r="H256" i="1"/>
  <c r="H151" i="1"/>
  <c r="H286" i="1"/>
  <c r="H112" i="1"/>
  <c r="H193" i="1"/>
  <c r="H315" i="1"/>
  <c r="H325" i="1"/>
  <c r="H108" i="1"/>
  <c r="H239" i="1"/>
  <c r="H253" i="1"/>
  <c r="H178" i="1"/>
  <c r="H77" i="1"/>
  <c r="H201" i="1"/>
  <c r="H199" i="1"/>
  <c r="H60" i="1"/>
  <c r="H320" i="1"/>
  <c r="H66" i="1"/>
  <c r="H241" i="1"/>
  <c r="H279" i="1"/>
  <c r="H324" i="1"/>
  <c r="H230" i="1"/>
  <c r="H28" i="1"/>
  <c r="H37" i="1"/>
  <c r="H69" i="1"/>
  <c r="H78" i="1"/>
  <c r="H79" i="1"/>
  <c r="H90" i="1"/>
  <c r="H125" i="1"/>
  <c r="H107" i="1"/>
  <c r="H50" i="1"/>
  <c r="H224" i="1"/>
  <c r="H15" i="1"/>
  <c r="H223" i="1"/>
  <c r="H197" i="1"/>
  <c r="H34" i="1"/>
  <c r="H194" i="1"/>
  <c r="H165" i="1"/>
  <c r="H317" i="1"/>
  <c r="H24" i="1"/>
  <c r="H124" i="1"/>
  <c r="H267" i="1"/>
  <c r="H319" i="1"/>
  <c r="H16" i="1"/>
  <c r="H82" i="1"/>
  <c r="H22" i="1"/>
  <c r="H198" i="1"/>
  <c r="H306" i="1"/>
  <c r="H100" i="1"/>
  <c r="H169" i="1"/>
  <c r="H63" i="1"/>
  <c r="H64" i="1"/>
  <c r="H185" i="1"/>
  <c r="H273" i="1"/>
  <c r="H23" i="1"/>
  <c r="H126" i="1"/>
  <c r="H67" i="1"/>
  <c r="H8" i="1"/>
  <c r="H222" i="1"/>
  <c r="H189" i="1"/>
  <c r="H136" i="1"/>
  <c r="H260" i="1"/>
  <c r="H207" i="1"/>
  <c r="H244" i="1"/>
  <c r="H249" i="1"/>
  <c r="H212" i="1"/>
  <c r="H208" i="1"/>
  <c r="H214" i="1"/>
  <c r="H211" i="1"/>
  <c r="H148" i="1"/>
  <c r="H14" i="1"/>
  <c r="H200" i="1"/>
  <c r="H291" i="1"/>
  <c r="H292" i="1"/>
  <c r="H49" i="1"/>
  <c r="H105" i="1"/>
  <c r="H68" i="1"/>
  <c r="H287" i="1"/>
  <c r="H138" i="1"/>
  <c r="H150" i="1"/>
  <c r="H278" i="1"/>
  <c r="H84" i="1"/>
  <c r="H133" i="1"/>
  <c r="H175" i="1"/>
  <c r="H115" i="1"/>
  <c r="H20" i="1"/>
  <c r="H261" i="1"/>
  <c r="H272" i="1"/>
  <c r="H11" i="1"/>
  <c r="H130" i="1"/>
  <c r="H326" i="1"/>
  <c r="H6" i="1"/>
  <c r="H168" i="1"/>
  <c r="H305" i="1"/>
  <c r="H280" i="1"/>
  <c r="H89" i="1"/>
  <c r="H264" i="1"/>
  <c r="H102" i="1"/>
  <c r="H38" i="1"/>
  <c r="H98" i="1"/>
  <c r="H111" i="1"/>
  <c r="H304" i="1"/>
  <c r="H293" i="1"/>
  <c r="H234" i="1"/>
  <c r="H3" i="1"/>
  <c r="H104" i="1"/>
  <c r="H13" i="1"/>
  <c r="H245" i="1"/>
  <c r="H296" i="1"/>
  <c r="H313" i="1"/>
  <c r="H47" i="1"/>
  <c r="H132" i="1"/>
  <c r="H131" i="1"/>
  <c r="H215" i="1"/>
  <c r="H258" i="1"/>
  <c r="H275" i="1"/>
  <c r="H101" i="1"/>
  <c r="H83" i="1"/>
  <c r="H123" i="1"/>
  <c r="H312" i="1"/>
  <c r="H88" i="1"/>
  <c r="H91" i="1"/>
  <c r="H163" i="1"/>
  <c r="H12" i="1"/>
  <c r="H74" i="1"/>
  <c r="H43" i="1"/>
  <c r="H42" i="1"/>
  <c r="H299" i="1"/>
  <c r="H248" i="1"/>
  <c r="H121" i="1"/>
  <c r="H27" i="1"/>
  <c r="H75" i="1"/>
  <c r="H297" i="1"/>
  <c r="H266" i="1"/>
  <c r="H162" i="1"/>
  <c r="H53" i="1"/>
  <c r="H285" i="1"/>
  <c r="H65" i="1"/>
  <c r="H55" i="1"/>
  <c r="H19" i="1"/>
  <c r="H97" i="1"/>
  <c r="H202" i="1"/>
  <c r="H87" i="1"/>
  <c r="H116" i="1"/>
  <c r="H246" i="1"/>
  <c r="H172" i="1"/>
  <c r="H153" i="1"/>
  <c r="H158" i="1"/>
  <c r="H85" i="1"/>
  <c r="H243" i="1"/>
  <c r="H76" i="1"/>
  <c r="H254" i="1"/>
  <c r="H155" i="1"/>
  <c r="H236" i="1"/>
  <c r="H46" i="1"/>
  <c r="H7" i="1"/>
  <c r="H290" i="1"/>
  <c r="H284" i="1"/>
  <c r="H191" i="1"/>
  <c r="H45" i="1"/>
  <c r="H233" i="1"/>
  <c r="H206" i="1"/>
  <c r="H294" i="1"/>
  <c r="H295" i="1"/>
  <c r="H159" i="1"/>
  <c r="H195" i="1"/>
  <c r="H140" i="1"/>
  <c r="H4" i="1"/>
  <c r="H302" i="1"/>
  <c r="H93" i="1"/>
  <c r="H36" i="1"/>
  <c r="H44" i="1"/>
  <c r="H143" i="1"/>
  <c r="H225" i="1"/>
  <c r="H9" i="1"/>
  <c r="H117" i="1"/>
  <c r="H219" i="1"/>
  <c r="H227" i="1"/>
  <c r="H221" i="1"/>
  <c r="H161" i="1"/>
  <c r="H2" i="1"/>
  <c r="H30" i="1"/>
  <c r="H106" i="1"/>
  <c r="H21" i="1"/>
  <c r="H329" i="1"/>
  <c r="H170" i="1"/>
  <c r="H51" i="1"/>
  <c r="H142" i="1"/>
  <c r="H135" i="1"/>
  <c r="H166" i="1"/>
  <c r="H179" i="1"/>
  <c r="H322" i="1"/>
  <c r="H303" i="1"/>
  <c r="H232" i="1"/>
  <c r="H32" i="1"/>
  <c r="H35" i="1"/>
  <c r="H269" i="1"/>
  <c r="H173" i="1"/>
  <c r="H192" i="1"/>
  <c r="H81" i="1"/>
  <c r="H95" i="1"/>
  <c r="H327" i="1"/>
  <c r="H26" i="1"/>
  <c r="H41" i="1"/>
  <c r="H176" i="1"/>
  <c r="H141" i="1"/>
  <c r="H271" i="1"/>
  <c r="H196" i="1"/>
  <c r="H71" i="1"/>
  <c r="H251" i="1"/>
  <c r="H139" i="1"/>
  <c r="H289" i="1"/>
  <c r="H128" i="1"/>
  <c r="H31" i="1"/>
  <c r="H220" i="1"/>
  <c r="H308" i="1"/>
  <c r="H204" i="1"/>
  <c r="H94" i="1"/>
  <c r="H259" i="1"/>
  <c r="H247" i="1"/>
  <c r="H72" i="1"/>
  <c r="H118" i="1"/>
  <c r="H39" i="1"/>
  <c r="H103" i="1"/>
  <c r="H217" i="1"/>
  <c r="H210" i="1"/>
  <c r="H262" i="1"/>
  <c r="H152" i="1"/>
  <c r="H298" i="1"/>
  <c r="H17" i="1"/>
  <c r="H277" i="1"/>
  <c r="H268" i="1"/>
  <c r="H177" i="1"/>
  <c r="H226" i="1"/>
  <c r="H282" i="1"/>
  <c r="H283" i="1"/>
  <c r="H330" i="1"/>
  <c r="H92" i="1"/>
  <c r="H323" i="1"/>
  <c r="H149" i="1"/>
  <c r="H321" i="1"/>
  <c r="H309" i="1"/>
  <c r="H70" i="1"/>
  <c r="H144" i="1"/>
  <c r="H96" i="1"/>
  <c r="H86" i="1"/>
  <c r="H281" i="1"/>
  <c r="H62" i="1"/>
  <c r="H311" i="1"/>
  <c r="H120" i="1"/>
  <c r="H156" i="1"/>
  <c r="H205" i="1"/>
  <c r="H180" i="1"/>
  <c r="H48" i="1"/>
  <c r="H57" i="1"/>
  <c r="H203" i="1"/>
  <c r="H160" i="1"/>
  <c r="H270" i="1"/>
  <c r="H310" i="1"/>
  <c r="H228" i="1"/>
  <c r="H114" i="1"/>
  <c r="H5" i="1"/>
  <c r="H183" i="1"/>
  <c r="H182" i="1"/>
  <c r="H316" i="1"/>
  <c r="H318" i="1"/>
  <c r="H80" i="1"/>
  <c r="H145" i="1"/>
  <c r="H231" i="1"/>
  <c r="H110" i="1"/>
  <c r="H59" i="1"/>
  <c r="H56" i="1"/>
  <c r="H174" i="1"/>
  <c r="H73" i="1"/>
  <c r="H276" i="1"/>
  <c r="H157" i="1"/>
  <c r="H29" i="1"/>
  <c r="H127" i="1"/>
  <c r="H274" i="1"/>
  <c r="H263" i="1"/>
  <c r="H288" i="1"/>
  <c r="H147" i="1"/>
  <c r="H113" i="1"/>
  <c r="H255" i="1"/>
  <c r="H146" i="1"/>
  <c r="H167" i="1"/>
  <c r="H187" i="1"/>
  <c r="H119" i="1"/>
  <c r="H235" i="1"/>
  <c r="H54" i="1"/>
  <c r="H242" i="1"/>
  <c r="H61" i="1"/>
  <c r="H33" i="1"/>
  <c r="H154" i="1"/>
  <c r="F218" i="1"/>
  <c r="F252" i="1"/>
  <c r="F307" i="1"/>
  <c r="F301" i="1"/>
  <c r="F58" i="1"/>
  <c r="F229" i="1"/>
  <c r="F181" i="1"/>
  <c r="F216" i="1"/>
  <c r="F99" i="1"/>
  <c r="F40" i="1"/>
  <c r="F238" i="1"/>
  <c r="F134" i="1"/>
  <c r="F184" i="1"/>
  <c r="F137" i="1"/>
  <c r="F300" i="1"/>
  <c r="F250" i="1"/>
  <c r="F52" i="1"/>
  <c r="F188" i="1"/>
  <c r="F209" i="1"/>
  <c r="F129" i="1"/>
  <c r="F190" i="1"/>
  <c r="F237" i="1"/>
  <c r="F257" i="1"/>
  <c r="F314" i="1"/>
  <c r="F18" i="1"/>
  <c r="F213" i="1"/>
  <c r="F186" i="1"/>
  <c r="F10" i="1"/>
  <c r="F328" i="1"/>
  <c r="F122" i="1"/>
  <c r="F265" i="1"/>
  <c r="F25" i="1"/>
  <c r="F240" i="1"/>
  <c r="F164" i="1"/>
  <c r="F109" i="1"/>
  <c r="F171" i="1"/>
  <c r="F256" i="1"/>
  <c r="F151" i="1"/>
  <c r="F286" i="1"/>
  <c r="F112" i="1"/>
  <c r="F193" i="1"/>
  <c r="F315" i="1"/>
  <c r="F325" i="1"/>
  <c r="F108" i="1"/>
  <c r="F239" i="1"/>
  <c r="F253" i="1"/>
  <c r="F178" i="1"/>
  <c r="F77" i="1"/>
  <c r="F201" i="1"/>
  <c r="F199" i="1"/>
  <c r="F60" i="1"/>
  <c r="F320" i="1"/>
  <c r="F66" i="1"/>
  <c r="F241" i="1"/>
  <c r="F279" i="1"/>
  <c r="F324" i="1"/>
  <c r="F230" i="1"/>
  <c r="F28" i="1"/>
  <c r="F37" i="1"/>
  <c r="F69" i="1"/>
  <c r="F78" i="1"/>
  <c r="F79" i="1"/>
  <c r="F90" i="1"/>
  <c r="F125" i="1"/>
  <c r="F107" i="1"/>
  <c r="F50" i="1"/>
  <c r="F224" i="1"/>
  <c r="F15" i="1"/>
  <c r="F223" i="1"/>
  <c r="F197" i="1"/>
  <c r="F34" i="1"/>
  <c r="F194" i="1"/>
  <c r="F165" i="1"/>
  <c r="F317" i="1"/>
  <c r="F24" i="1"/>
  <c r="F124" i="1"/>
  <c r="F267" i="1"/>
  <c r="F319" i="1"/>
  <c r="F16" i="1"/>
  <c r="F82" i="1"/>
  <c r="F22" i="1"/>
  <c r="F198" i="1"/>
  <c r="F306" i="1"/>
  <c r="F100" i="1"/>
  <c r="F169" i="1"/>
  <c r="F63" i="1"/>
  <c r="F64" i="1"/>
  <c r="F185" i="1"/>
  <c r="F273" i="1"/>
  <c r="F23" i="1"/>
  <c r="F126" i="1"/>
  <c r="F67" i="1"/>
  <c r="F8" i="1"/>
  <c r="F222" i="1"/>
  <c r="F189" i="1"/>
  <c r="F136" i="1"/>
  <c r="F260" i="1"/>
  <c r="F207" i="1"/>
  <c r="F244" i="1"/>
  <c r="F249" i="1"/>
  <c r="F212" i="1"/>
  <c r="F208" i="1"/>
  <c r="F214" i="1"/>
  <c r="F211" i="1"/>
  <c r="F148" i="1"/>
  <c r="F14" i="1"/>
  <c r="F200" i="1"/>
  <c r="F291" i="1"/>
  <c r="F292" i="1"/>
  <c r="F49" i="1"/>
  <c r="F105" i="1"/>
  <c r="F68" i="1"/>
  <c r="F287" i="1"/>
  <c r="F138" i="1"/>
  <c r="F150" i="1"/>
  <c r="F278" i="1"/>
  <c r="F84" i="1"/>
  <c r="F133" i="1"/>
  <c r="F175" i="1"/>
  <c r="F115" i="1"/>
  <c r="F20" i="1"/>
  <c r="F261" i="1"/>
  <c r="F272" i="1"/>
  <c r="F11" i="1"/>
  <c r="F130" i="1"/>
  <c r="F326" i="1"/>
  <c r="F6" i="1"/>
  <c r="F168" i="1"/>
  <c r="F305" i="1"/>
  <c r="F280" i="1"/>
  <c r="F89" i="1"/>
  <c r="F264" i="1"/>
  <c r="F102" i="1"/>
  <c r="F38" i="1"/>
  <c r="F98" i="1"/>
  <c r="F111" i="1"/>
  <c r="F304" i="1"/>
  <c r="F293" i="1"/>
  <c r="F234" i="1"/>
  <c r="F3" i="1"/>
  <c r="F104" i="1"/>
  <c r="F13" i="1"/>
  <c r="F245" i="1"/>
  <c r="F296" i="1"/>
  <c r="F313" i="1"/>
  <c r="F47" i="1"/>
  <c r="F132" i="1"/>
  <c r="F131" i="1"/>
  <c r="F215" i="1"/>
  <c r="F258" i="1"/>
  <c r="F275" i="1"/>
  <c r="F101" i="1"/>
  <c r="F83" i="1"/>
  <c r="F123" i="1"/>
  <c r="F312" i="1"/>
  <c r="F88" i="1"/>
  <c r="F91" i="1"/>
  <c r="F163" i="1"/>
  <c r="F12" i="1"/>
  <c r="F74" i="1"/>
  <c r="F43" i="1"/>
  <c r="F42" i="1"/>
  <c r="F299" i="1"/>
  <c r="F248" i="1"/>
  <c r="F121" i="1"/>
  <c r="F27" i="1"/>
  <c r="F75" i="1"/>
  <c r="F297" i="1"/>
  <c r="F266" i="1"/>
  <c r="F162" i="1"/>
  <c r="F53" i="1"/>
  <c r="F285" i="1"/>
  <c r="F65" i="1"/>
  <c r="F55" i="1"/>
  <c r="F19" i="1"/>
  <c r="F97" i="1"/>
  <c r="F202" i="1"/>
  <c r="F87" i="1"/>
  <c r="F116" i="1"/>
  <c r="F246" i="1"/>
  <c r="F172" i="1"/>
  <c r="F153" i="1"/>
  <c r="F158" i="1"/>
  <c r="F85" i="1"/>
  <c r="F243" i="1"/>
  <c r="F76" i="1"/>
  <c r="F254" i="1"/>
  <c r="F155" i="1"/>
  <c r="F236" i="1"/>
  <c r="F46" i="1"/>
  <c r="F7" i="1"/>
  <c r="F290" i="1"/>
  <c r="F284" i="1"/>
  <c r="F191" i="1"/>
  <c r="F45" i="1"/>
  <c r="F233" i="1"/>
  <c r="F206" i="1"/>
  <c r="F294" i="1"/>
  <c r="F295" i="1"/>
  <c r="F159" i="1"/>
  <c r="F195" i="1"/>
  <c r="F140" i="1"/>
  <c r="F4" i="1"/>
  <c r="F302" i="1"/>
  <c r="F93" i="1"/>
  <c r="F36" i="1"/>
  <c r="F44" i="1"/>
  <c r="F143" i="1"/>
  <c r="F225" i="1"/>
  <c r="F9" i="1"/>
  <c r="F117" i="1"/>
  <c r="F219" i="1"/>
  <c r="F227" i="1"/>
  <c r="F221" i="1"/>
  <c r="F161" i="1"/>
  <c r="F2" i="1"/>
  <c r="F30" i="1"/>
  <c r="F106" i="1"/>
  <c r="F21" i="1"/>
  <c r="F329" i="1"/>
  <c r="F170" i="1"/>
  <c r="F51" i="1"/>
  <c r="F142" i="1"/>
  <c r="F135" i="1"/>
  <c r="F166" i="1"/>
  <c r="F179" i="1"/>
  <c r="F322" i="1"/>
  <c r="F303" i="1"/>
  <c r="F232" i="1"/>
  <c r="F32" i="1"/>
  <c r="F35" i="1"/>
  <c r="F269" i="1"/>
  <c r="F173" i="1"/>
  <c r="F192" i="1"/>
  <c r="F81" i="1"/>
  <c r="F95" i="1"/>
  <c r="F327" i="1"/>
  <c r="F26" i="1"/>
  <c r="F41" i="1"/>
  <c r="F176" i="1"/>
  <c r="F141" i="1"/>
  <c r="F271" i="1"/>
  <c r="F196" i="1"/>
  <c r="F71" i="1"/>
  <c r="F251" i="1"/>
  <c r="F139" i="1"/>
  <c r="F289" i="1"/>
  <c r="F128" i="1"/>
  <c r="F31" i="1"/>
  <c r="F220" i="1"/>
  <c r="F308" i="1"/>
  <c r="F204" i="1"/>
  <c r="F94" i="1"/>
  <c r="F259" i="1"/>
  <c r="F247" i="1"/>
  <c r="F72" i="1"/>
  <c r="F118" i="1"/>
  <c r="F39" i="1"/>
  <c r="F103" i="1"/>
  <c r="F217" i="1"/>
  <c r="F210" i="1"/>
  <c r="F262" i="1"/>
  <c r="F152" i="1"/>
  <c r="F298" i="1"/>
  <c r="F17" i="1"/>
  <c r="F277" i="1"/>
  <c r="F268" i="1"/>
  <c r="F177" i="1"/>
  <c r="F226" i="1"/>
  <c r="F282" i="1"/>
  <c r="F283" i="1"/>
  <c r="F330" i="1"/>
  <c r="F92" i="1"/>
  <c r="F323" i="1"/>
  <c r="F149" i="1"/>
  <c r="F321" i="1"/>
  <c r="F309" i="1"/>
  <c r="F70" i="1"/>
  <c r="F144" i="1"/>
  <c r="F96" i="1"/>
  <c r="F86" i="1"/>
  <c r="F281" i="1"/>
  <c r="F62" i="1"/>
  <c r="F311" i="1"/>
  <c r="F120" i="1"/>
  <c r="F156" i="1"/>
  <c r="F205" i="1"/>
  <c r="F180" i="1"/>
  <c r="F48" i="1"/>
  <c r="F57" i="1"/>
  <c r="F203" i="1"/>
  <c r="F160" i="1"/>
  <c r="F270" i="1"/>
  <c r="F310" i="1"/>
  <c r="F228" i="1"/>
  <c r="F114" i="1"/>
  <c r="F5" i="1"/>
  <c r="F183" i="1"/>
  <c r="F182" i="1"/>
  <c r="F316" i="1"/>
  <c r="F318" i="1"/>
  <c r="F80" i="1"/>
  <c r="F145" i="1"/>
  <c r="F231" i="1"/>
  <c r="F110" i="1"/>
  <c r="F59" i="1"/>
  <c r="F56" i="1"/>
  <c r="F174" i="1"/>
  <c r="F73" i="1"/>
  <c r="F276" i="1"/>
  <c r="F157" i="1"/>
  <c r="F29" i="1"/>
  <c r="F127" i="1"/>
  <c r="F274" i="1"/>
  <c r="F263" i="1"/>
  <c r="F288" i="1"/>
  <c r="F147" i="1"/>
  <c r="F113" i="1"/>
  <c r="F255" i="1"/>
  <c r="F146" i="1"/>
  <c r="F167" i="1"/>
  <c r="F187" i="1"/>
  <c r="F119" i="1"/>
  <c r="F235" i="1"/>
  <c r="F54" i="1"/>
  <c r="F242" i="1"/>
  <c r="F61" i="1"/>
  <c r="F33" i="1"/>
  <c r="F154" i="1"/>
  <c r="C52" i="1"/>
  <c r="AO218" i="1"/>
  <c r="AO252" i="1"/>
  <c r="AO307" i="1"/>
  <c r="AO301" i="1"/>
  <c r="AO58" i="1"/>
  <c r="AO229" i="1"/>
  <c r="AO181" i="1"/>
  <c r="AO216" i="1"/>
  <c r="AO99" i="1"/>
  <c r="AO40" i="1"/>
  <c r="AO238" i="1"/>
  <c r="AO134" i="1"/>
  <c r="AO184" i="1"/>
  <c r="AO137" i="1"/>
  <c r="AO300" i="1"/>
  <c r="AO250" i="1"/>
  <c r="AO52" i="1"/>
  <c r="AO188" i="1"/>
  <c r="AO209" i="1"/>
  <c r="AO129" i="1"/>
  <c r="AO190" i="1"/>
  <c r="AO237" i="1"/>
  <c r="AO257" i="1"/>
  <c r="AO314" i="1"/>
  <c r="AO18" i="1"/>
  <c r="AO213" i="1"/>
  <c r="AO186" i="1"/>
  <c r="AO10" i="1"/>
  <c r="AO328" i="1"/>
  <c r="AO122" i="1"/>
  <c r="AO265" i="1"/>
  <c r="AO25" i="1"/>
  <c r="AO240" i="1"/>
  <c r="AO164" i="1"/>
  <c r="AO109" i="1"/>
  <c r="AO171" i="1"/>
  <c r="AO256" i="1"/>
  <c r="AO151" i="1"/>
  <c r="AO286" i="1"/>
  <c r="AO112" i="1"/>
  <c r="AO193" i="1"/>
  <c r="AO315" i="1"/>
  <c r="AO325" i="1"/>
  <c r="AO108" i="1"/>
  <c r="AO239" i="1"/>
  <c r="AO253" i="1"/>
  <c r="AO178" i="1"/>
  <c r="AO77" i="1"/>
  <c r="AO201" i="1"/>
  <c r="AO199" i="1"/>
  <c r="AO60" i="1"/>
  <c r="AO320" i="1"/>
  <c r="AO66" i="1"/>
  <c r="AO241" i="1"/>
  <c r="AO279" i="1"/>
  <c r="AO324" i="1"/>
  <c r="AO230" i="1"/>
  <c r="AO28" i="1"/>
  <c r="AO37" i="1"/>
  <c r="AO69" i="1"/>
  <c r="AO78" i="1"/>
  <c r="AO79" i="1"/>
  <c r="AO90" i="1"/>
  <c r="AO125" i="1"/>
  <c r="AO107" i="1"/>
  <c r="AO50" i="1"/>
  <c r="AO224" i="1"/>
  <c r="AO15" i="1"/>
  <c r="AO223" i="1"/>
  <c r="AO197" i="1"/>
  <c r="AO34" i="1"/>
  <c r="AO194" i="1"/>
  <c r="AO165" i="1"/>
  <c r="AO317" i="1"/>
  <c r="AO24" i="1"/>
  <c r="AO124" i="1"/>
  <c r="AO267" i="1"/>
  <c r="AO319" i="1"/>
  <c r="AO16" i="1"/>
  <c r="AO82" i="1"/>
  <c r="AO22" i="1"/>
  <c r="AO198" i="1"/>
  <c r="AO306" i="1"/>
  <c r="AO100" i="1"/>
  <c r="AO169" i="1"/>
  <c r="AO63" i="1"/>
  <c r="AO64" i="1"/>
  <c r="AO185" i="1"/>
  <c r="AO273" i="1"/>
  <c r="AO23" i="1"/>
  <c r="AO126" i="1"/>
  <c r="AO67" i="1"/>
  <c r="AO8" i="1"/>
  <c r="AO222" i="1"/>
  <c r="AO189" i="1"/>
  <c r="AO136" i="1"/>
  <c r="AO260" i="1"/>
  <c r="AO207" i="1"/>
  <c r="AO244" i="1"/>
  <c r="AO249" i="1"/>
  <c r="AO212" i="1"/>
  <c r="AO208" i="1"/>
  <c r="AO214" i="1"/>
  <c r="AO211" i="1"/>
  <c r="AO148" i="1"/>
  <c r="AO14" i="1"/>
  <c r="AO200" i="1"/>
  <c r="AO291" i="1"/>
  <c r="AO292" i="1"/>
  <c r="AO49" i="1"/>
  <c r="AO105" i="1"/>
  <c r="AO68" i="1"/>
  <c r="AO287" i="1"/>
  <c r="AO138" i="1"/>
  <c r="AO150" i="1"/>
  <c r="AO278" i="1"/>
  <c r="AO84" i="1"/>
  <c r="AO133" i="1"/>
  <c r="AO175" i="1"/>
  <c r="AO115" i="1"/>
  <c r="AO20" i="1"/>
  <c r="AO261" i="1"/>
  <c r="AO272" i="1"/>
  <c r="AO11" i="1"/>
  <c r="AO130" i="1"/>
  <c r="AO326" i="1"/>
  <c r="AO6" i="1"/>
  <c r="AO168" i="1"/>
  <c r="AO305" i="1"/>
  <c r="AO280" i="1"/>
  <c r="AO89" i="1"/>
  <c r="AO264" i="1"/>
  <c r="AO102" i="1"/>
  <c r="AO38" i="1"/>
  <c r="AO98" i="1"/>
  <c r="AO111" i="1"/>
  <c r="AO304" i="1"/>
  <c r="AO293" i="1"/>
  <c r="AO234" i="1"/>
  <c r="AO3" i="1"/>
  <c r="AO104" i="1"/>
  <c r="AO13" i="1"/>
  <c r="AO245" i="1"/>
  <c r="AO296" i="1"/>
  <c r="AO313" i="1"/>
  <c r="AO47" i="1"/>
  <c r="AO132" i="1"/>
  <c r="AO131" i="1"/>
  <c r="AO215" i="1"/>
  <c r="AO258" i="1"/>
  <c r="AO275" i="1"/>
  <c r="AO101" i="1"/>
  <c r="AO83" i="1"/>
  <c r="AO123" i="1"/>
  <c r="AO312" i="1"/>
  <c r="AO88" i="1"/>
  <c r="AO91" i="1"/>
  <c r="AO163" i="1"/>
  <c r="AO12" i="1"/>
  <c r="AO74" i="1"/>
  <c r="AO43" i="1"/>
  <c r="AO42" i="1"/>
  <c r="AO299" i="1"/>
  <c r="AO248" i="1"/>
  <c r="AO121" i="1"/>
  <c r="AO27" i="1"/>
  <c r="AO75" i="1"/>
  <c r="AO297" i="1"/>
  <c r="AO266" i="1"/>
  <c r="AO162" i="1"/>
  <c r="AO53" i="1"/>
  <c r="AO285" i="1"/>
  <c r="AO65" i="1"/>
  <c r="AO55" i="1"/>
  <c r="AO19" i="1"/>
  <c r="AO97" i="1"/>
  <c r="AO202" i="1"/>
  <c r="AO87" i="1"/>
  <c r="AO116" i="1"/>
  <c r="AO246" i="1"/>
  <c r="AO172" i="1"/>
  <c r="AO153" i="1"/>
  <c r="AO158" i="1"/>
  <c r="AO85" i="1"/>
  <c r="AO243" i="1"/>
  <c r="AO76" i="1"/>
  <c r="AO254" i="1"/>
  <c r="AO155" i="1"/>
  <c r="AO236" i="1"/>
  <c r="AO46" i="1"/>
  <c r="AO7" i="1"/>
  <c r="AO290" i="1"/>
  <c r="AO284" i="1"/>
  <c r="AO191" i="1"/>
  <c r="AO45" i="1"/>
  <c r="AO233" i="1"/>
  <c r="AO206" i="1"/>
  <c r="AO294" i="1"/>
  <c r="AO295" i="1"/>
  <c r="AO159" i="1"/>
  <c r="AO195" i="1"/>
  <c r="AO140" i="1"/>
  <c r="AO4" i="1"/>
  <c r="AO302" i="1"/>
  <c r="AO93" i="1"/>
  <c r="AO36" i="1"/>
  <c r="AO44" i="1"/>
  <c r="AO143" i="1"/>
  <c r="AO225" i="1"/>
  <c r="AO9" i="1"/>
  <c r="AO117" i="1"/>
  <c r="AO219" i="1"/>
  <c r="AO227" i="1"/>
  <c r="AO221" i="1"/>
  <c r="AO161" i="1"/>
  <c r="AO2" i="1"/>
  <c r="AO30" i="1"/>
  <c r="AO106" i="1"/>
  <c r="AO21" i="1"/>
  <c r="AO329" i="1"/>
  <c r="AO170" i="1"/>
  <c r="AO51" i="1"/>
  <c r="AO142" i="1"/>
  <c r="AO135" i="1"/>
  <c r="AO166" i="1"/>
  <c r="AO179" i="1"/>
  <c r="AO322" i="1"/>
  <c r="AO303" i="1"/>
  <c r="AO232" i="1"/>
  <c r="AO32" i="1"/>
  <c r="AO35" i="1"/>
  <c r="AO269" i="1"/>
  <c r="AO173" i="1"/>
  <c r="AO192" i="1"/>
  <c r="AO81" i="1"/>
  <c r="AO95" i="1"/>
  <c r="AO327" i="1"/>
  <c r="AO26" i="1"/>
  <c r="AO41" i="1"/>
  <c r="AO176" i="1"/>
  <c r="AO141" i="1"/>
  <c r="AO271" i="1"/>
  <c r="AO196" i="1"/>
  <c r="AO71" i="1"/>
  <c r="AO251" i="1"/>
  <c r="AO139" i="1"/>
  <c r="AO289" i="1"/>
  <c r="AO128" i="1"/>
  <c r="AO31" i="1"/>
  <c r="AO220" i="1"/>
  <c r="AO308" i="1"/>
  <c r="AO204" i="1"/>
  <c r="AO94" i="1"/>
  <c r="AO259" i="1"/>
  <c r="AO247" i="1"/>
  <c r="AO72" i="1"/>
  <c r="AO118" i="1"/>
  <c r="AO39" i="1"/>
  <c r="AO103" i="1"/>
  <c r="AO217" i="1"/>
  <c r="AO210" i="1"/>
  <c r="AO262" i="1"/>
  <c r="AO152" i="1"/>
  <c r="AO298" i="1"/>
  <c r="AO17" i="1"/>
  <c r="AO277" i="1"/>
  <c r="AO268" i="1"/>
  <c r="AO177" i="1"/>
  <c r="AO226" i="1"/>
  <c r="AO282" i="1"/>
  <c r="AO283" i="1"/>
  <c r="AO330" i="1"/>
  <c r="AO92" i="1"/>
  <c r="AO323" i="1"/>
  <c r="AO149" i="1"/>
  <c r="AO321" i="1"/>
  <c r="AO309" i="1"/>
  <c r="AO70" i="1"/>
  <c r="AO144" i="1"/>
  <c r="AO96" i="1"/>
  <c r="AO86" i="1"/>
  <c r="AO281" i="1"/>
  <c r="AO62" i="1"/>
  <c r="AO311" i="1"/>
  <c r="AO120" i="1"/>
  <c r="AO156" i="1"/>
  <c r="AO205" i="1"/>
  <c r="AO180" i="1"/>
  <c r="AO48" i="1"/>
  <c r="AO57" i="1"/>
  <c r="AO203" i="1"/>
  <c r="AO160" i="1"/>
  <c r="AO270" i="1"/>
  <c r="AO310" i="1"/>
  <c r="AO228" i="1"/>
  <c r="AO114" i="1"/>
  <c r="AO5" i="1"/>
  <c r="AO183" i="1"/>
  <c r="AO182" i="1"/>
  <c r="AO316" i="1"/>
  <c r="AO318" i="1"/>
  <c r="AO80" i="1"/>
  <c r="AO145" i="1"/>
  <c r="AO231" i="1"/>
  <c r="AO110" i="1"/>
  <c r="AO59" i="1"/>
  <c r="AO56" i="1"/>
  <c r="AO174" i="1"/>
  <c r="AO73" i="1"/>
  <c r="AO276" i="1"/>
  <c r="AO157" i="1"/>
  <c r="AO29" i="1"/>
  <c r="AO127" i="1"/>
  <c r="AO274" i="1"/>
  <c r="AO263" i="1"/>
  <c r="AO288" i="1"/>
  <c r="AO147" i="1"/>
  <c r="AO113" i="1"/>
  <c r="AO255" i="1"/>
  <c r="AO146" i="1"/>
  <c r="AO167" i="1"/>
  <c r="AO187" i="1"/>
  <c r="AO119" i="1"/>
  <c r="AO235" i="1"/>
  <c r="AO54" i="1"/>
  <c r="AO242" i="1"/>
  <c r="AO61" i="1"/>
  <c r="AO33" i="1"/>
  <c r="AO154" i="1"/>
  <c r="AN301" i="1"/>
  <c r="AN58" i="1"/>
  <c r="AN229" i="1"/>
  <c r="AN181" i="1"/>
  <c r="AN216" i="1"/>
  <c r="AN99" i="1"/>
  <c r="AN40" i="1"/>
  <c r="AN238" i="1"/>
  <c r="AN134" i="1"/>
  <c r="AN184" i="1"/>
  <c r="AN137" i="1"/>
  <c r="AN300" i="1"/>
  <c r="AN250" i="1"/>
  <c r="AN52" i="1"/>
  <c r="AN188" i="1"/>
  <c r="AN209" i="1"/>
  <c r="AN129" i="1"/>
  <c r="AN190" i="1"/>
  <c r="AN237" i="1"/>
  <c r="AN257" i="1"/>
  <c r="AN314" i="1"/>
  <c r="AN18" i="1"/>
  <c r="AN213" i="1"/>
  <c r="AN186" i="1"/>
  <c r="AN10" i="1"/>
  <c r="AN328" i="1"/>
  <c r="AN122" i="1"/>
  <c r="AN265" i="1"/>
  <c r="AN25" i="1"/>
  <c r="AN240" i="1"/>
  <c r="AN164" i="1"/>
  <c r="AN109" i="1"/>
  <c r="AN171" i="1"/>
  <c r="AN256" i="1"/>
  <c r="AN151" i="1"/>
  <c r="AN286" i="1"/>
  <c r="AN112" i="1"/>
  <c r="AN193" i="1"/>
  <c r="AN315" i="1"/>
  <c r="AN325" i="1"/>
  <c r="AN108" i="1"/>
  <c r="AN239" i="1"/>
  <c r="AN253" i="1"/>
  <c r="AN178" i="1"/>
  <c r="AN77" i="1"/>
  <c r="AN201" i="1"/>
  <c r="AN199" i="1"/>
  <c r="AN60" i="1"/>
  <c r="AN320" i="1"/>
  <c r="AN66" i="1"/>
  <c r="AN241" i="1"/>
  <c r="AN279" i="1"/>
  <c r="AN324" i="1"/>
  <c r="AN230" i="1"/>
  <c r="AN28" i="1"/>
  <c r="AN37" i="1"/>
  <c r="AN69" i="1"/>
  <c r="AN78" i="1"/>
  <c r="AN79" i="1"/>
  <c r="AN90" i="1"/>
  <c r="AN125" i="1"/>
  <c r="AN107" i="1"/>
  <c r="AN50" i="1"/>
  <c r="AN224" i="1"/>
  <c r="AN15" i="1"/>
  <c r="AN223" i="1"/>
  <c r="AN197" i="1"/>
  <c r="AN34" i="1"/>
  <c r="AN194" i="1"/>
  <c r="AN165" i="1"/>
  <c r="AN317" i="1"/>
  <c r="AN24" i="1"/>
  <c r="AN124" i="1"/>
  <c r="AN267" i="1"/>
  <c r="AN319" i="1"/>
  <c r="AN16" i="1"/>
  <c r="AN82" i="1"/>
  <c r="AN22" i="1"/>
  <c r="AN198" i="1"/>
  <c r="AN306" i="1"/>
  <c r="AN100" i="1"/>
  <c r="AN169" i="1"/>
  <c r="AN63" i="1"/>
  <c r="AN64" i="1"/>
  <c r="AN185" i="1"/>
  <c r="AN273" i="1"/>
  <c r="AN23" i="1"/>
  <c r="AN126" i="1"/>
  <c r="AN67" i="1"/>
  <c r="AN8" i="1"/>
  <c r="AN222" i="1"/>
  <c r="AN189" i="1"/>
  <c r="AN136" i="1"/>
  <c r="AN260" i="1"/>
  <c r="AN207" i="1"/>
  <c r="AN244" i="1"/>
  <c r="AN249" i="1"/>
  <c r="AN212" i="1"/>
  <c r="AN208" i="1"/>
  <c r="AN214" i="1"/>
  <c r="AN211" i="1"/>
  <c r="AN148" i="1"/>
  <c r="AN14" i="1"/>
  <c r="AN200" i="1"/>
  <c r="AN291" i="1"/>
  <c r="AN292" i="1"/>
  <c r="AN49" i="1"/>
  <c r="AN105" i="1"/>
  <c r="AN68" i="1"/>
  <c r="AN287" i="1"/>
  <c r="AN138" i="1"/>
  <c r="AN150" i="1"/>
  <c r="AN278" i="1"/>
  <c r="AN84" i="1"/>
  <c r="AN133" i="1"/>
  <c r="AN175" i="1"/>
  <c r="AN115" i="1"/>
  <c r="AN20" i="1"/>
  <c r="AN261" i="1"/>
  <c r="AN272" i="1"/>
  <c r="AN11" i="1"/>
  <c r="AN130" i="1"/>
  <c r="AN326" i="1"/>
  <c r="AN6" i="1"/>
  <c r="AN168" i="1"/>
  <c r="AN305" i="1"/>
  <c r="AN280" i="1"/>
  <c r="AN89" i="1"/>
  <c r="AN264" i="1"/>
  <c r="AN102" i="1"/>
  <c r="AN38" i="1"/>
  <c r="AN98" i="1"/>
  <c r="AN111" i="1"/>
  <c r="AN304" i="1"/>
  <c r="AN293" i="1"/>
  <c r="AN234" i="1"/>
  <c r="AN3" i="1"/>
  <c r="AN104" i="1"/>
  <c r="AN13" i="1"/>
  <c r="AN245" i="1"/>
  <c r="AN296" i="1"/>
  <c r="AN313" i="1"/>
  <c r="AN47" i="1"/>
  <c r="AN132" i="1"/>
  <c r="AN131" i="1"/>
  <c r="AN215" i="1"/>
  <c r="AN258" i="1"/>
  <c r="AN275" i="1"/>
  <c r="AN101" i="1"/>
  <c r="AN83" i="1"/>
  <c r="AN123" i="1"/>
  <c r="AN312" i="1"/>
  <c r="AN88" i="1"/>
  <c r="AN91" i="1"/>
  <c r="AN163" i="1"/>
  <c r="AN12" i="1"/>
  <c r="AN74" i="1"/>
  <c r="AN43" i="1"/>
  <c r="AN42" i="1"/>
  <c r="AN299" i="1"/>
  <c r="AN248" i="1"/>
  <c r="AN121" i="1"/>
  <c r="AN27" i="1"/>
  <c r="AN75" i="1"/>
  <c r="AN297" i="1"/>
  <c r="AN266" i="1"/>
  <c r="AN162" i="1"/>
  <c r="AN53" i="1"/>
  <c r="AN285" i="1"/>
  <c r="AN65" i="1"/>
  <c r="AN55" i="1"/>
  <c r="AN19" i="1"/>
  <c r="AN97" i="1"/>
  <c r="AN202" i="1"/>
  <c r="AN87" i="1"/>
  <c r="AN116" i="1"/>
  <c r="AN246" i="1"/>
  <c r="AN172" i="1"/>
  <c r="AN153" i="1"/>
  <c r="AN158" i="1"/>
  <c r="AN85" i="1"/>
  <c r="AN243" i="1"/>
  <c r="AN76" i="1"/>
  <c r="AN254" i="1"/>
  <c r="AN155" i="1"/>
  <c r="AN236" i="1"/>
  <c r="AN46" i="1"/>
  <c r="AN7" i="1"/>
  <c r="AN290" i="1"/>
  <c r="AN284" i="1"/>
  <c r="AN191" i="1"/>
  <c r="AN45" i="1"/>
  <c r="AN233" i="1"/>
  <c r="AN206" i="1"/>
  <c r="AN294" i="1"/>
  <c r="AN295" i="1"/>
  <c r="AN159" i="1"/>
  <c r="AN195" i="1"/>
  <c r="AN140" i="1"/>
  <c r="AN4" i="1"/>
  <c r="AN302" i="1"/>
  <c r="AN93" i="1"/>
  <c r="AN36" i="1"/>
  <c r="AN44" i="1"/>
  <c r="AN143" i="1"/>
  <c r="AN225" i="1"/>
  <c r="AN9" i="1"/>
  <c r="AN117" i="1"/>
  <c r="AN219" i="1"/>
  <c r="AN227" i="1"/>
  <c r="AN221" i="1"/>
  <c r="AN161" i="1"/>
  <c r="AN2" i="1"/>
  <c r="AN30" i="1"/>
  <c r="AN106" i="1"/>
  <c r="AN21" i="1"/>
  <c r="AN329" i="1"/>
  <c r="AN170" i="1"/>
  <c r="AN51" i="1"/>
  <c r="AN142" i="1"/>
  <c r="AN135" i="1"/>
  <c r="AN166" i="1"/>
  <c r="AN179" i="1"/>
  <c r="AN322" i="1"/>
  <c r="AN303" i="1"/>
  <c r="AN232" i="1"/>
  <c r="AN32" i="1"/>
  <c r="AN35" i="1"/>
  <c r="AN269" i="1"/>
  <c r="AN173" i="1"/>
  <c r="AN192" i="1"/>
  <c r="AN81" i="1"/>
  <c r="AN95" i="1"/>
  <c r="AN327" i="1"/>
  <c r="AN26" i="1"/>
  <c r="AN41" i="1"/>
  <c r="AN176" i="1"/>
  <c r="AN141" i="1"/>
  <c r="AN271" i="1"/>
  <c r="AN196" i="1"/>
  <c r="AN71" i="1"/>
  <c r="AN251" i="1"/>
  <c r="AN139" i="1"/>
  <c r="AN289" i="1"/>
  <c r="AN128" i="1"/>
  <c r="AN31" i="1"/>
  <c r="AN220" i="1"/>
  <c r="AN308" i="1"/>
  <c r="AN204" i="1"/>
  <c r="AN94" i="1"/>
  <c r="AN259" i="1"/>
  <c r="AN247" i="1"/>
  <c r="AN72" i="1"/>
  <c r="AN118" i="1"/>
  <c r="AN39" i="1"/>
  <c r="AN103" i="1"/>
  <c r="AN217" i="1"/>
  <c r="AN210" i="1"/>
  <c r="AN262" i="1"/>
  <c r="AN152" i="1"/>
  <c r="AN298" i="1"/>
  <c r="AN17" i="1"/>
  <c r="AN277" i="1"/>
  <c r="AN268" i="1"/>
  <c r="AN177" i="1"/>
  <c r="AN226" i="1"/>
  <c r="AN282" i="1"/>
  <c r="AN283" i="1"/>
  <c r="AN330" i="1"/>
  <c r="AN92" i="1"/>
  <c r="AN323" i="1"/>
  <c r="AN149" i="1"/>
  <c r="AN321" i="1"/>
  <c r="AN309" i="1"/>
  <c r="AN70" i="1"/>
  <c r="AN144" i="1"/>
  <c r="AN96" i="1"/>
  <c r="AN86" i="1"/>
  <c r="AN281" i="1"/>
  <c r="AN62" i="1"/>
  <c r="AN311" i="1"/>
  <c r="AN120" i="1"/>
  <c r="AN156" i="1"/>
  <c r="AN205" i="1"/>
  <c r="AN180" i="1"/>
  <c r="AN48" i="1"/>
  <c r="AN57" i="1"/>
  <c r="AN203" i="1"/>
  <c r="AN160" i="1"/>
  <c r="AN270" i="1"/>
  <c r="AN310" i="1"/>
  <c r="AN228" i="1"/>
  <c r="AN114" i="1"/>
  <c r="AN5" i="1"/>
  <c r="AN183" i="1"/>
  <c r="AN182" i="1"/>
  <c r="AN316" i="1"/>
  <c r="AN318" i="1"/>
  <c r="AN80" i="1"/>
  <c r="AN145" i="1"/>
  <c r="AN231" i="1"/>
  <c r="AN110" i="1"/>
  <c r="AN59" i="1"/>
  <c r="AN56" i="1"/>
  <c r="AN174" i="1"/>
  <c r="AN73" i="1"/>
  <c r="AN276" i="1"/>
  <c r="AN157" i="1"/>
  <c r="AN29" i="1"/>
  <c r="AN127" i="1"/>
  <c r="AN274" i="1"/>
  <c r="AN263" i="1"/>
  <c r="AN288" i="1"/>
  <c r="AN147" i="1"/>
  <c r="AN113" i="1"/>
  <c r="AN255" i="1"/>
  <c r="AN146" i="1"/>
  <c r="AN167" i="1"/>
  <c r="AN187" i="1"/>
  <c r="AN119" i="1"/>
  <c r="AN235" i="1"/>
  <c r="AN54" i="1"/>
  <c r="AN242" i="1"/>
  <c r="AN61" i="1"/>
  <c r="AN33" i="1"/>
  <c r="AN154" i="1"/>
  <c r="AN252" i="1"/>
  <c r="AN307" i="1"/>
  <c r="AN218" i="1"/>
  <c r="C183" i="1"/>
  <c r="C14" i="1"/>
  <c r="C179" i="1"/>
  <c r="C219" i="1"/>
  <c r="C269" i="1"/>
  <c r="C317" i="1"/>
  <c r="C101" i="1"/>
  <c r="C12" i="1"/>
  <c r="C243" i="1"/>
  <c r="C138" i="1"/>
  <c r="C159" i="1"/>
  <c r="C306" i="1"/>
  <c r="C323" i="1"/>
  <c r="C145" i="1"/>
  <c r="C131" i="1"/>
  <c r="C53" i="1"/>
  <c r="C229" i="1"/>
  <c r="C115" i="1"/>
  <c r="C66" i="1"/>
  <c r="C210" i="1"/>
  <c r="C253" i="1"/>
  <c r="C200" i="1"/>
  <c r="C286" i="1"/>
  <c r="C83" i="1"/>
  <c r="C15" i="1"/>
  <c r="C215" i="1"/>
  <c r="C247" i="1"/>
  <c r="C38" i="1"/>
  <c r="C198" i="1"/>
  <c r="C57" i="1"/>
  <c r="C16" i="1"/>
  <c r="C321" i="1"/>
  <c r="C154" i="1"/>
  <c r="C112" i="1"/>
  <c r="C298" i="1"/>
  <c r="C230" i="1"/>
  <c r="C185" i="1"/>
  <c r="C209" i="1"/>
  <c r="C222" i="1"/>
  <c r="C130" i="1"/>
  <c r="C311" i="1"/>
  <c r="C272" i="1"/>
  <c r="C293" i="1"/>
  <c r="C260" i="1"/>
  <c r="C13" i="1"/>
  <c r="C225" i="1"/>
  <c r="C170" i="1"/>
  <c r="C328" i="1"/>
  <c r="C175" i="1"/>
  <c r="C99" i="1"/>
  <c r="C234" i="1"/>
  <c r="C326" i="1"/>
  <c r="C220" i="1"/>
  <c r="C292" i="1"/>
  <c r="C221" i="1"/>
  <c r="C10" i="1"/>
  <c r="C71" i="1"/>
  <c r="C8" i="1"/>
  <c r="C166" i="1"/>
  <c r="C9" i="1"/>
  <c r="C2" i="1"/>
  <c r="C169" i="1"/>
  <c r="C265" i="1"/>
  <c r="C103" i="1"/>
  <c r="C18" i="1"/>
  <c r="C273" i="1"/>
  <c r="C133" i="1"/>
  <c r="C193" i="1"/>
  <c r="C254" i="1"/>
  <c r="C5" i="1"/>
  <c r="C196" i="1"/>
  <c r="C241" i="1"/>
  <c r="C318" i="1"/>
  <c r="C312" i="1"/>
  <c r="C224" i="1"/>
  <c r="C50" i="1"/>
  <c r="C4" i="1"/>
  <c r="C314" i="1"/>
  <c r="C212" i="1"/>
  <c r="C70" i="1"/>
  <c r="C246" i="1"/>
  <c r="C255" i="1"/>
  <c r="C283" i="1"/>
  <c r="C59" i="1"/>
  <c r="C89" i="1"/>
  <c r="C244" i="1"/>
  <c r="C156" i="1"/>
  <c r="C69" i="1"/>
  <c r="C190" i="1"/>
  <c r="C110" i="1"/>
  <c r="C105" i="1"/>
  <c r="C42" i="1"/>
  <c r="C284" i="1"/>
  <c r="C251" i="1"/>
  <c r="C91" i="1"/>
  <c r="C98" i="1"/>
  <c r="C176" i="1"/>
  <c r="C301" i="1"/>
  <c r="C329" i="1"/>
  <c r="C116" i="1"/>
  <c r="C78" i="1"/>
  <c r="C96" i="1"/>
  <c r="C294" i="1"/>
  <c r="C113" i="1"/>
  <c r="C122" i="1"/>
  <c r="C167" i="1"/>
  <c r="C289" i="1"/>
  <c r="C88" i="1"/>
  <c r="C152" i="1"/>
  <c r="C322" i="1"/>
  <c r="C205" i="1"/>
  <c r="C150" i="1"/>
  <c r="C282" i="1"/>
  <c r="C118" i="1"/>
  <c r="C80" i="1"/>
  <c r="C299" i="1"/>
  <c r="C29" i="1"/>
  <c r="C274" i="1"/>
  <c r="C259" i="1"/>
  <c r="C296" i="1"/>
  <c r="C291" i="1"/>
  <c r="C174" i="1"/>
  <c r="C147" i="1"/>
  <c r="C181" i="1"/>
  <c r="C310" i="1"/>
  <c r="C158" i="1"/>
  <c r="C201" i="1"/>
  <c r="C49" i="1"/>
  <c r="C194" i="1"/>
  <c r="C41" i="1"/>
  <c r="C308" i="1"/>
  <c r="C117" i="1"/>
  <c r="C295" i="1"/>
  <c r="C171" i="1"/>
  <c r="C278" i="1"/>
  <c r="C155" i="1"/>
  <c r="C204" i="1"/>
  <c r="C288" i="1"/>
  <c r="C199" i="1"/>
  <c r="C76" i="1"/>
  <c r="C184" i="1"/>
  <c r="C65" i="1"/>
  <c r="C228" i="1"/>
  <c r="C236" i="1"/>
  <c r="C266" i="1"/>
  <c r="C257" i="1"/>
  <c r="C195" i="1"/>
  <c r="C309" i="1"/>
  <c r="C281" i="1"/>
  <c r="C68" i="1"/>
  <c r="C238" i="1"/>
  <c r="C276" i="1"/>
  <c r="C60" i="1"/>
  <c r="C263" i="1"/>
  <c r="C207" i="1"/>
  <c r="C319" i="1"/>
  <c r="C135" i="1"/>
  <c r="C54" i="1"/>
  <c r="C94" i="1"/>
  <c r="C90" i="1"/>
  <c r="C33" i="1"/>
  <c r="C232" i="1"/>
  <c r="C62" i="1"/>
  <c r="C279" i="1"/>
  <c r="C39" i="1"/>
  <c r="C325" i="1"/>
  <c r="C125" i="1"/>
  <c r="C216" i="1"/>
  <c r="C63" i="1"/>
  <c r="C3" i="1"/>
  <c r="C164" i="1"/>
  <c r="C132" i="1"/>
  <c r="C245" i="1"/>
  <c r="C206" i="1"/>
  <c r="C134" i="1"/>
  <c r="C108" i="1"/>
  <c r="C124" i="1"/>
  <c r="C11" i="1"/>
  <c r="C248" i="1"/>
  <c r="C233" i="1"/>
  <c r="C303" i="1"/>
  <c r="C217" i="1"/>
  <c r="C160" i="1"/>
  <c r="C235" i="1"/>
  <c r="C300" i="1"/>
  <c r="C84" i="1"/>
  <c r="C32" i="1"/>
  <c r="C7" i="1"/>
  <c r="C213" i="1"/>
  <c r="C227" i="1"/>
  <c r="C36" i="1"/>
  <c r="C17" i="1"/>
  <c r="C162" i="1"/>
  <c r="C157" i="1"/>
  <c r="C136" i="1"/>
  <c r="C97" i="1"/>
  <c r="C305" i="1"/>
  <c r="C123" i="1"/>
  <c r="C48" i="1"/>
  <c r="C79" i="1"/>
  <c r="C143" i="1"/>
  <c r="C268" i="1"/>
  <c r="C188" i="1"/>
  <c r="C242" i="1"/>
  <c r="C37" i="1"/>
  <c r="C165" i="1"/>
  <c r="C86" i="1"/>
  <c r="C161" i="1"/>
  <c r="C55" i="1"/>
  <c r="C178" i="1"/>
  <c r="C43" i="1"/>
  <c r="C127" i="1"/>
  <c r="C197" i="1"/>
  <c r="C239" i="1"/>
  <c r="C187" i="1"/>
  <c r="C102" i="1"/>
  <c r="C25" i="1"/>
  <c r="C250" i="1"/>
  <c r="C40" i="1"/>
  <c r="C64" i="1"/>
  <c r="C275" i="1"/>
  <c r="C173" i="1"/>
  <c r="C144" i="1"/>
  <c r="C240" i="1"/>
  <c r="C44" i="1"/>
  <c r="C262" i="1"/>
  <c r="C218" i="1"/>
  <c r="C22" i="1"/>
  <c r="C327" i="1"/>
  <c r="C252" i="1"/>
  <c r="C126" i="1"/>
  <c r="C270" i="1"/>
  <c r="C20" i="1"/>
  <c r="C151" i="1"/>
  <c r="C307" i="1"/>
  <c r="C47" i="1"/>
  <c r="C149" i="1"/>
  <c r="C121" i="1"/>
  <c r="C81" i="1"/>
  <c r="C34" i="1"/>
  <c r="C172" i="1"/>
  <c r="C290" i="1"/>
  <c r="C27" i="1"/>
  <c r="C191" i="1"/>
  <c r="C142" i="1"/>
  <c r="C211" i="1"/>
  <c r="C24" i="1"/>
  <c r="C106" i="1"/>
  <c r="C249" i="1"/>
  <c r="C287" i="1"/>
  <c r="C67" i="1"/>
  <c r="C45" i="1"/>
  <c r="C119" i="1"/>
  <c r="C137" i="1"/>
  <c r="C202" i="1"/>
  <c r="C208" i="1"/>
  <c r="C129" i="1"/>
  <c r="C320" i="1"/>
  <c r="C100" i="1"/>
  <c r="C264" i="1"/>
  <c r="C285" i="1"/>
  <c r="C302" i="1"/>
  <c r="C95" i="1"/>
  <c r="C177" i="1"/>
  <c r="C316" i="1"/>
  <c r="C58" i="1"/>
  <c r="C31" i="1"/>
  <c r="C141" i="1"/>
  <c r="C168" i="1"/>
  <c r="C186" i="1"/>
  <c r="C223" i="1"/>
  <c r="C297" i="1"/>
  <c r="C203" i="1"/>
  <c r="C163" i="1"/>
  <c r="C85" i="1"/>
  <c r="C280" i="1"/>
  <c r="C120" i="1"/>
  <c r="C61" i="1"/>
  <c r="C51" i="1"/>
  <c r="C114" i="1"/>
  <c r="C28" i="1"/>
  <c r="C93" i="1"/>
  <c r="C226" i="1"/>
  <c r="C182" i="1"/>
  <c r="C214" i="1"/>
  <c r="C153" i="1"/>
  <c r="C21" i="1"/>
  <c r="C111" i="1"/>
  <c r="C146" i="1"/>
  <c r="C73" i="1"/>
  <c r="C92" i="1"/>
  <c r="C313" i="1"/>
  <c r="C231" i="1"/>
  <c r="C104" i="1"/>
  <c r="C30" i="1"/>
  <c r="C23" i="1"/>
  <c r="C128" i="1"/>
  <c r="C35" i="1"/>
  <c r="C72" i="1"/>
  <c r="C74" i="1"/>
  <c r="C237" i="1"/>
  <c r="C148" i="1"/>
  <c r="C87" i="1"/>
  <c r="C271" i="1"/>
  <c r="C180" i="1"/>
  <c r="C315" i="1"/>
  <c r="C192" i="1"/>
  <c r="C56" i="1"/>
  <c r="C109" i="1"/>
  <c r="C6" i="1"/>
  <c r="C139" i="1"/>
  <c r="C256" i="1"/>
  <c r="C304" i="1"/>
  <c r="C107" i="1"/>
  <c r="C77" i="1"/>
  <c r="C189" i="1"/>
  <c r="C277" i="1"/>
  <c r="C324" i="1"/>
  <c r="C75" i="1"/>
  <c r="C46" i="1"/>
  <c r="C261" i="1"/>
  <c r="C82" i="1"/>
  <c r="C330" i="1"/>
  <c r="C26" i="1"/>
  <c r="C140" i="1"/>
  <c r="C19" i="1"/>
  <c r="C258" i="1"/>
  <c r="C267" i="1"/>
</calcChain>
</file>

<file path=xl/sharedStrings.xml><?xml version="1.0" encoding="utf-8"?>
<sst xmlns="http://schemas.openxmlformats.org/spreadsheetml/2006/main" count="4331" uniqueCount="382">
  <si>
    <t>HATT</t>
  </si>
  <si>
    <t>HATTr</t>
  </si>
  <si>
    <t>QTc</t>
  </si>
  <si>
    <t>QRS</t>
  </si>
  <si>
    <t>WBC</t>
  </si>
  <si>
    <t>Hb</t>
  </si>
  <si>
    <t>PTL</t>
  </si>
  <si>
    <t>Na</t>
  </si>
  <si>
    <t>K</t>
  </si>
  <si>
    <t>BUN</t>
  </si>
  <si>
    <t>Creatinine</t>
  </si>
  <si>
    <t>AST</t>
  </si>
  <si>
    <t>ALT</t>
  </si>
  <si>
    <t>Glucose</t>
  </si>
  <si>
    <t>LAD</t>
  </si>
  <si>
    <t>LVDs</t>
  </si>
  <si>
    <t>LVDd</t>
  </si>
  <si>
    <t>EF</t>
  </si>
  <si>
    <t>PAPs</t>
  </si>
  <si>
    <t>Võ Thị Em</t>
  </si>
  <si>
    <t>Nữ</t>
  </si>
  <si>
    <t>Không</t>
  </si>
  <si>
    <t>Có</t>
  </si>
  <si>
    <t>Suy tim mất bù cấp</t>
  </si>
  <si>
    <t>Không tử vong</t>
  </si>
  <si>
    <t>Trần Hữu Tài</t>
  </si>
  <si>
    <t>Nam</t>
  </si>
  <si>
    <t>Ngô Việt Phúc</t>
  </si>
  <si>
    <t>Choáng tim</t>
  </si>
  <si>
    <t>Tử vong</t>
  </si>
  <si>
    <t>Cao Văn Tiều</t>
  </si>
  <si>
    <t>Trương Thị Mỹ</t>
  </si>
  <si>
    <t>Phạm Thị Thạnh</t>
  </si>
  <si>
    <t>Bùi Xuân Huynh</t>
  </si>
  <si>
    <t>Nguyễn Văn Thành</t>
  </si>
  <si>
    <t>Nguyễn Khắc Tuấn</t>
  </si>
  <si>
    <t>Hà Thị Lệ</t>
  </si>
  <si>
    <t>Lê Văn Thường</t>
  </si>
  <si>
    <t>Trang Tuấn Nghĩa</t>
  </si>
  <si>
    <t>Nguyễn Thị Hội</t>
  </si>
  <si>
    <t>Lê Văn Khiêm</t>
  </si>
  <si>
    <t>Vũ Mạnh Hùng</t>
  </si>
  <si>
    <t>Lưu Thị Thuý</t>
  </si>
  <si>
    <t>Y Jem Ktul</t>
  </si>
  <si>
    <t>Võ Văn Toàn</t>
  </si>
  <si>
    <t>Phù phổi cấp</t>
  </si>
  <si>
    <t>Nguyễn Thị Màu</t>
  </si>
  <si>
    <t>Nguyễn Thị Minh Trung</t>
  </si>
  <si>
    <t>Nguyễn Vân Anh</t>
  </si>
  <si>
    <t>Nguyễn Văn Cai</t>
  </si>
  <si>
    <t>Phan Hoàng Hạnh</t>
  </si>
  <si>
    <t>Nguyễn Mạnh Cường</t>
  </si>
  <si>
    <t>Nguyễn Thu Giờ</t>
  </si>
  <si>
    <t>Trần Thu Hoàng</t>
  </si>
  <si>
    <t>Nguyễn Thị Quy</t>
  </si>
  <si>
    <t>Nguyễn Văn Thông</t>
  </si>
  <si>
    <t>Trần Thị Thu Hương</t>
  </si>
  <si>
    <t>Trương Phi Hùng</t>
  </si>
  <si>
    <t>Nguyễn Văn Nghiệp</t>
  </si>
  <si>
    <t>Ngô Để</t>
  </si>
  <si>
    <t>Lý Thị Mộng Thuỳ</t>
  </si>
  <si>
    <t>Nguyễn Thị Mậu Tý</t>
  </si>
  <si>
    <t>Nguyễn Thị Thanh Nga</t>
  </si>
  <si>
    <t>Nguyễn Minh Sơn</t>
  </si>
  <si>
    <t>Trần Thị Gần</t>
  </si>
  <si>
    <t>Nguyễn Thị Liên</t>
  </si>
  <si>
    <t>Nguyễn Minh Trung</t>
  </si>
  <si>
    <t>Nguyễn Văn Ru</t>
  </si>
  <si>
    <t>Nguyễn Văn Cảnh</t>
  </si>
  <si>
    <t xml:space="preserve">Nguyễn Thị Năm </t>
  </si>
  <si>
    <t>Bùi Văn Bé Năm</t>
  </si>
  <si>
    <t>Phan Văn Sương</t>
  </si>
  <si>
    <t>Quách Văn Đông</t>
  </si>
  <si>
    <t>Mai Thị Hương</t>
  </si>
  <si>
    <t>Trần Quang Tùng</t>
  </si>
  <si>
    <t>Lưu Văn Kịch</t>
  </si>
  <si>
    <t>Lê Thị Tuyết</t>
  </si>
  <si>
    <t>Trần Văn Luông</t>
  </si>
  <si>
    <t xml:space="preserve">Nguyễn Văn Quốc </t>
  </si>
  <si>
    <t>Trương Văn Chúng</t>
  </si>
  <si>
    <t>Trần Thị Hồng Ngọc</t>
  </si>
  <si>
    <t>Nguyễn Văn Phương</t>
  </si>
  <si>
    <t>Nguyễn Văn Chúc</t>
  </si>
  <si>
    <t>Nguyễn Văn Hùng Em</t>
  </si>
  <si>
    <t>Nguyễn Thị Ninh</t>
  </si>
  <si>
    <t>Phạm Thị Sanh</t>
  </si>
  <si>
    <t>Sín Tài Múi</t>
  </si>
  <si>
    <t>Nguyễn Thái Bình</t>
  </si>
  <si>
    <t>Phan Văn Thành</t>
  </si>
  <si>
    <t>Nguyễn Văn Cường</t>
  </si>
  <si>
    <t>Lê Văn Bạn</t>
  </si>
  <si>
    <t>Nguyễn Diên Lam</t>
  </si>
  <si>
    <t>Lâm Văn Bé</t>
  </si>
  <si>
    <t>Trần Thị Trừ</t>
  </si>
  <si>
    <t>Nguyễn Thị Ngân</t>
  </si>
  <si>
    <t>Nguyễn Thị Lài</t>
  </si>
  <si>
    <t>Lê Thị Sang</t>
  </si>
  <si>
    <t>Phùng Thị Thoả</t>
  </si>
  <si>
    <t>Bùi Công Chính</t>
  </si>
  <si>
    <t>Trương Thị Huệ</t>
  </si>
  <si>
    <t>Nguyễn Văn Vũ</t>
  </si>
  <si>
    <t>Nguyễn Mộng Hồng</t>
  </si>
  <si>
    <t>Trần Thị Mộng Linh</t>
  </si>
  <si>
    <t>Trương Tuyết Nhung</t>
  </si>
  <si>
    <t>Trương Văn Trung</t>
  </si>
  <si>
    <t>Đỗ Duy Quang</t>
  </si>
  <si>
    <t>Cao Xuân Tư</t>
  </si>
  <si>
    <t>Đinh Tấn Sang</t>
  </si>
  <si>
    <t>Cao Quốc Khanh</t>
  </si>
  <si>
    <t>Thái Thị Bé Hai</t>
  </si>
  <si>
    <t>Trương Minh Khánh</t>
  </si>
  <si>
    <t>Nguyễn Trung Vân</t>
  </si>
  <si>
    <t>Nguyễn Ngọc Giàu</t>
  </si>
  <si>
    <t>Nguyễn Hồng Hà</t>
  </si>
  <si>
    <t>Nguyễn Thị Mỹ Trinh</t>
  </si>
  <si>
    <t>Đậu Xuân Luận</t>
  </si>
  <si>
    <t>Lê Thị Tấc</t>
  </si>
  <si>
    <t>Trần Thị Hai</t>
  </si>
  <si>
    <t>Trần Văn Mười</t>
  </si>
  <si>
    <t>Thái Văn Sang</t>
  </si>
  <si>
    <t>Nguyễn Tấn Danh</t>
  </si>
  <si>
    <t>Nguyễn Thị Tính</t>
  </si>
  <si>
    <t>Nguyễn Thị Lụa</t>
  </si>
  <si>
    <t>Phan Văn Sơ</t>
  </si>
  <si>
    <t>Nguyễn Văn Chí</t>
  </si>
  <si>
    <t>Trần Trường Hận</t>
  </si>
  <si>
    <t>Võ Văn Dình</t>
  </si>
  <si>
    <t>Nguyễn Chí Dũng</t>
  </si>
  <si>
    <t>Phó Kim Phượng</t>
  </si>
  <si>
    <t>Phan Thị Tuyết Hồng</t>
  </si>
  <si>
    <t>Lê Thị Dung</t>
  </si>
  <si>
    <t>Đào Văn Tâm</t>
  </si>
  <si>
    <t>Võ Thị Ngọc Trang</t>
  </si>
  <si>
    <t>Dương Minh Lập</t>
  </si>
  <si>
    <t>Nguyễn Thị Truyền</t>
  </si>
  <si>
    <t>Lê Thị Đủ</t>
  </si>
  <si>
    <t>Nguyễn Tấn Dậu</t>
  </si>
  <si>
    <t>Đỗ Thị Vọng</t>
  </si>
  <si>
    <t>Nguyễn Xuân Cử</t>
  </si>
  <si>
    <t>Võ Thanh Trung</t>
  </si>
  <si>
    <t>Lương Kim Ơn</t>
  </si>
  <si>
    <t>Nguyễn Thị Loan</t>
  </si>
  <si>
    <t>Nguyễn Hùng Minh</t>
  </si>
  <si>
    <t>Võ Thị Ngọc Hà</t>
  </si>
  <si>
    <t>Huỳnh Quốc Trí</t>
  </si>
  <si>
    <t>Trần Tuấn Anh</t>
  </si>
  <si>
    <t>Nguyễn Minh Tú</t>
  </si>
  <si>
    <t>Giang Tú Hồng</t>
  </si>
  <si>
    <t>Võ Văn Chất</t>
  </si>
  <si>
    <t>Hồ Bình Việt</t>
  </si>
  <si>
    <t>Phạm Thị Rào</t>
  </si>
  <si>
    <t>Bùi Văn Thảo</t>
  </si>
  <si>
    <t>Phạm Ngọc Phú</t>
  </si>
  <si>
    <t>Trịnh Lợi Hưng</t>
  </si>
  <si>
    <t>Nguyễn Thanh Tùng</t>
  </si>
  <si>
    <t>Nguyễn Thị Ngọc Hoa</t>
  </si>
  <si>
    <t>Phan Văn Trinh</t>
  </si>
  <si>
    <t>Nguyễn Văn Xê</t>
  </si>
  <si>
    <t>Võ Hồng Danh</t>
  </si>
  <si>
    <t>Võ An Quảng</t>
  </si>
  <si>
    <t>Vàng Thị Dành</t>
  </si>
  <si>
    <t>Quách Thị Liên</t>
  </si>
  <si>
    <t>Phan Nga</t>
  </si>
  <si>
    <t>Phạm Thị Năng</t>
  </si>
  <si>
    <t>Nguyễn Văn Theo</t>
  </si>
  <si>
    <t>Nguyễn Văn Thanh</t>
  </si>
  <si>
    <t>Nguyễn Văn Đức</t>
  </si>
  <si>
    <t>Nguyễn Thị Thanh Tâm</t>
  </si>
  <si>
    <t>Nguyễn Thị Luyện</t>
  </si>
  <si>
    <t>Bùi Văn Mười</t>
  </si>
  <si>
    <t>Địch Thị Sằm</t>
  </si>
  <si>
    <t>Lê Hữu Chương</t>
  </si>
  <si>
    <t>Hứa Tiến Vụ</t>
  </si>
  <si>
    <t>Lê Thị Lài</t>
  </si>
  <si>
    <t>Lý Hương</t>
  </si>
  <si>
    <t>Lương Thị Tuyết Linh</t>
  </si>
  <si>
    <t>Ngô Thị Tho</t>
  </si>
  <si>
    <t>Nguyễn Đình Phương</t>
  </si>
  <si>
    <t>Nguyễn Quốc Hải</t>
  </si>
  <si>
    <t>Đặng Thị Phấn</t>
  </si>
  <si>
    <t>Nguyễn Thị Thuỳ Trang</t>
  </si>
  <si>
    <t>Phan Văn Lọt</t>
  </si>
  <si>
    <t>Lê Văn Ngọt</t>
  </si>
  <si>
    <t>Phạm Tường</t>
  </si>
  <si>
    <t>Huỳnh Văn Tèo</t>
  </si>
  <si>
    <t>Lê Thị Biểu</t>
  </si>
  <si>
    <t>Lê Thị Sáu</t>
  </si>
  <si>
    <t>Huỳnh Thị Xuân</t>
  </si>
  <si>
    <t>Nguyễn Ngọc Lang</t>
  </si>
  <si>
    <t>Vũ Ngọc Dũng</t>
  </si>
  <si>
    <t>Phan Thị Mỹ Lệ</t>
  </si>
  <si>
    <t>Nguyễn Văn Út</t>
  </si>
  <si>
    <t>Nguyễn Đăng Khoa</t>
  </si>
  <si>
    <t>Phạm Quang Long</t>
  </si>
  <si>
    <t>Nguyễn Phú Quốc</t>
  </si>
  <si>
    <t>Nguyễn Văn Bé</t>
  </si>
  <si>
    <t>Đỗ Thị Định</t>
  </si>
  <si>
    <t>Nguyễn Văn Hoàng</t>
  </si>
  <si>
    <t>Lý Thị Út</t>
  </si>
  <si>
    <t>Lê Thị Điễu</t>
  </si>
  <si>
    <t>Trần Dạ Trường</t>
  </si>
  <si>
    <t>Tạ Văn Thân</t>
  </si>
  <si>
    <t>Huỳnh Văn Tư</t>
  </si>
  <si>
    <t>Lê Thị Hỏi</t>
  </si>
  <si>
    <t>Nguyễn Thị Tiến</t>
  </si>
  <si>
    <t>Bùi Thị Tàu</t>
  </si>
  <si>
    <t>Lê Thị Âu</t>
  </si>
  <si>
    <t>Trần Thị Khoa</t>
  </si>
  <si>
    <t>Võ Văn Bé Ba</t>
  </si>
  <si>
    <t>Đào Thị Nhã Trinh</t>
  </si>
  <si>
    <t>Võ Văn Dư</t>
  </si>
  <si>
    <t>Phạm Thị Hai</t>
  </si>
  <si>
    <t>Tăng Phú Quốc</t>
  </si>
  <si>
    <t>Sơn Thị Phước</t>
  </si>
  <si>
    <t>Tiêu Thị Sương</t>
  </si>
  <si>
    <t>Nguyễn Văn Minh</t>
  </si>
  <si>
    <t>Nguyễn Việt Đức</t>
  </si>
  <si>
    <t>Nguyễn Văn Tùng</t>
  </si>
  <si>
    <t>Nguyễn Văn Măng</t>
  </si>
  <si>
    <t>Huỳnh Thị Kim Thuận</t>
  </si>
  <si>
    <t>Nguyễn Thị Ba</t>
  </si>
  <si>
    <t>Nguyễn Thị Hồng</t>
  </si>
  <si>
    <t>Nguyễn Thị Thảo Nguyên</t>
  </si>
  <si>
    <t>Đỗ Thị Hằng</t>
  </si>
  <si>
    <t>Đỗ Văn Đầm</t>
  </si>
  <si>
    <t>H Wỡ Nie</t>
  </si>
  <si>
    <t>Đinh Hoàng Trường</t>
  </si>
  <si>
    <t>Huỳnh Thị Yến Ngọc</t>
  </si>
  <si>
    <t>Nguyễn Công Hậu</t>
  </si>
  <si>
    <t>Khuất Thị Hoa</t>
  </si>
  <si>
    <t>Ngô Quốc Long</t>
  </si>
  <si>
    <t>Lý Thị Thu</t>
  </si>
  <si>
    <t>Lương Thị Ngọc Điệp</t>
  </si>
  <si>
    <t>Lê Văn Nên</t>
  </si>
  <si>
    <t>Lê Thị Mai</t>
  </si>
  <si>
    <t>Khưu Minh Phụng</t>
  </si>
  <si>
    <t>Lê Hoàng Hà</t>
  </si>
  <si>
    <t>Mai Thành Tuấn</t>
  </si>
  <si>
    <t>Phạm Thế Nhân</t>
  </si>
  <si>
    <t>Nguyễn Thành Phương</t>
  </si>
  <si>
    <t>Nguyễn Thị Sương</t>
  </si>
  <si>
    <t>Nguyễn Thị Hà</t>
  </si>
  <si>
    <t>Phạm Thị Thẩm</t>
  </si>
  <si>
    <t>Trần Văn Phấn</t>
  </si>
  <si>
    <t>Trần Thị Đông</t>
  </si>
  <si>
    <t>Phan Thị Hà</t>
  </si>
  <si>
    <t>Nguyễn Văn Trạng</t>
  </si>
  <si>
    <t>Nguyễn Văn Thới</t>
  </si>
  <si>
    <t>Nguyễn Văn Phước</t>
  </si>
  <si>
    <t>Phạm Thị Đáng</t>
  </si>
  <si>
    <t>Trần Văn Trương</t>
  </si>
  <si>
    <t>Trần Lê Diễm Phúc</t>
  </si>
  <si>
    <t>Tăng Thị Hoa</t>
  </si>
  <si>
    <t>Tăng Ba</t>
  </si>
  <si>
    <t>Phạm Văn Thật</t>
  </si>
  <si>
    <t>Trần Thị Bảy</t>
  </si>
  <si>
    <t>Trần Thị Kim Chi</t>
  </si>
  <si>
    <t>Lê Thị Thu</t>
  </si>
  <si>
    <t>Lê Văn Tèo</t>
  </si>
  <si>
    <t>Lê Thị Huông</t>
  </si>
  <si>
    <t>Nguyễn Hữu Hồ</t>
  </si>
  <si>
    <t>Đoàn Xuân Thanh</t>
  </si>
  <si>
    <t>Phạm Thị Trợ</t>
  </si>
  <si>
    <t>Trà Minh Vui</t>
  </si>
  <si>
    <t>Hà Thị Thu Sang</t>
  </si>
  <si>
    <t>Phạm Thị Ta</t>
  </si>
  <si>
    <t>Nguyễn Thị Cẩm</t>
  </si>
  <si>
    <t>Mang Đức</t>
  </si>
  <si>
    <t>Huỳnh Thị Thanh Nhanh</t>
  </si>
  <si>
    <t>Nguyễn Phước Lộc</t>
  </si>
  <si>
    <t>Võ Văn Chủ</t>
  </si>
  <si>
    <t>Võ Tuấn Hải</t>
  </si>
  <si>
    <t>Từ Thị Huệ</t>
  </si>
  <si>
    <t>Nguyễn Văn Húa</t>
  </si>
  <si>
    <t>Nguyễn Thị Ngọc Sương</t>
  </si>
  <si>
    <t>Nguyễn Thị Thê</t>
  </si>
  <si>
    <t>Nguyễn Thị Ngọc Hà</t>
  </si>
  <si>
    <t>Nguyễn Thị An</t>
  </si>
  <si>
    <t>Mai Xuân Phong</t>
  </si>
  <si>
    <t>Đàm Văn Thọ</t>
  </si>
  <si>
    <t>Dương Thanh Tâm</t>
  </si>
  <si>
    <t>Cao Văn Hiệp</t>
  </si>
  <si>
    <t>Trương Anh Tuấn</t>
  </si>
  <si>
    <t>Nguyễn Đức Lý</t>
  </si>
  <si>
    <t>Tống Thị Cận</t>
  </si>
  <si>
    <t>Trần Quốc Thành</t>
  </si>
  <si>
    <t>Lê Hoàng Kha</t>
  </si>
  <si>
    <t>Lưu Tấn Sĩ</t>
  </si>
  <si>
    <t>Hồ Thị Chung</t>
  </si>
  <si>
    <t>Phan Thị Kỷ</t>
  </si>
  <si>
    <t>Lê Thị Chính</t>
  </si>
  <si>
    <t>Lê Văn Nhượng</t>
  </si>
  <si>
    <t>Lê Thị Nương</t>
  </si>
  <si>
    <t>Nguyễn Văn Huấn</t>
  </si>
  <si>
    <t>Ngô Minh Doanh</t>
  </si>
  <si>
    <t>Phan Văn Phùng</t>
  </si>
  <si>
    <t>Văn Công Đơ</t>
  </si>
  <si>
    <t>Nguyễn Văn Sinh</t>
  </si>
  <si>
    <t>Trần Văn Sáng</t>
  </si>
  <si>
    <t>Ngô Thị Trang</t>
  </si>
  <si>
    <t>Huỳnh Thị Quê</t>
  </si>
  <si>
    <t>Lê Đức Thanh</t>
  </si>
  <si>
    <t>Nguyễn Thị Thoảng</t>
  </si>
  <si>
    <t>Nông Văn Cao</t>
  </si>
  <si>
    <t>Nguyễn Văn Hân</t>
  </si>
  <si>
    <t>Trần Thị Kim Anh</t>
  </si>
  <si>
    <t>Lê Thị Ốm</t>
  </si>
  <si>
    <t>Thị Sa Ro</t>
  </si>
  <si>
    <t>Lê Thanh Hào</t>
  </si>
  <si>
    <t>Nguyễn Thị Hoa</t>
  </si>
  <si>
    <t>Lê Thị Hạnh</t>
  </si>
  <si>
    <t>Lê Văn Hùng</t>
  </si>
  <si>
    <t>Lê Đức Anh</t>
  </si>
  <si>
    <t>Nguyễn Ngọc Thành</t>
  </si>
  <si>
    <t xml:space="preserve">Vòng A Chán </t>
  </si>
  <si>
    <t>Nguyễn Thị Phương</t>
  </si>
  <si>
    <t>Bùi Thị Sỹ</t>
  </si>
  <si>
    <t>Phạm Thị Lan</t>
  </si>
  <si>
    <t>Giản Hữu Tốt</t>
  </si>
  <si>
    <t>Võ Thị Kim Phụng</t>
  </si>
  <si>
    <t>Võ Thị Chòn</t>
  </si>
  <si>
    <t>Nguyễn Thị Nhơn</t>
  </si>
  <si>
    <t>Nguyễn Thanh Tiến</t>
  </si>
  <si>
    <t>Hồ Huệ</t>
  </si>
  <si>
    <t>Hoàng Thị Mộng Thu</t>
  </si>
  <si>
    <t>Trần Thị Bạch</t>
  </si>
  <si>
    <t>Hà Thị Tến</t>
  </si>
  <si>
    <t>Nguyễn Tấn Kim Tùng</t>
  </si>
  <si>
    <t>Đinh Văn Nghĩa</t>
  </si>
  <si>
    <t>Võ Thị Thêm</t>
  </si>
  <si>
    <t>Trần Thị Xinh</t>
  </si>
  <si>
    <t>Đặng Quốc Trí</t>
  </si>
  <si>
    <t>Trần Văn Kẽm</t>
  </si>
  <si>
    <t>Trần Thị Đừng</t>
  </si>
  <si>
    <t>Lê Ngọc Đức</t>
  </si>
  <si>
    <t>Phạm Thị Thiện Tích</t>
  </si>
  <si>
    <t>Nguyễn Văn Cư</t>
  </si>
  <si>
    <t>Võ Thành Luyện</t>
  </si>
  <si>
    <t>Nguyễn Thị Phu</t>
  </si>
  <si>
    <t>Tăng Minh Phát</t>
  </si>
  <si>
    <t>Văn Thị Cẩn</t>
  </si>
  <si>
    <t>Nguyễn Đình Quan</t>
  </si>
  <si>
    <t>Lê Minh Hoàng</t>
  </si>
  <si>
    <t>Trần Tô Văn Thanh</t>
  </si>
  <si>
    <t>Phan Văn Thương</t>
  </si>
  <si>
    <t>Nguyễn Thị Minh Trang</t>
  </si>
  <si>
    <t>Nguyễn Mạnh Tiến</t>
  </si>
  <si>
    <t>ho_va_ten</t>
  </si>
  <si>
    <t>tuoi</t>
  </si>
  <si>
    <t>gioi_tinh</t>
  </si>
  <si>
    <t>bmi</t>
  </si>
  <si>
    <t>dai_thao_duong</t>
  </si>
  <si>
    <t>tang_huyet_ap</t>
  </si>
  <si>
    <t>hoi_chung_vanh_man</t>
  </si>
  <si>
    <t>copd</t>
  </si>
  <si>
    <t>phan_loai_the_lam_sang</t>
  </si>
  <si>
    <t>mach</t>
  </si>
  <si>
    <t>suy_ho_hap</t>
  </si>
  <si>
    <t>rung_nhi</t>
  </si>
  <si>
    <t>NT_proBNP &gt; 35000</t>
  </si>
  <si>
    <t>NT_ProBNP</t>
  </si>
  <si>
    <t>Troponin I_hs</t>
  </si>
  <si>
    <t>ket_cuc</t>
  </si>
  <si>
    <t>ntprobnp_value</t>
  </si>
  <si>
    <t>ntprobnp_maxed</t>
  </si>
  <si>
    <t>gioi_tinh_ma_hoa</t>
  </si>
  <si>
    <t>dtd_mahoa</t>
  </si>
  <si>
    <t>tha_mahoa</t>
  </si>
  <si>
    <t>ckd_mahoa</t>
  </si>
  <si>
    <t>ckd</t>
  </si>
  <si>
    <t>copd_mahoa</t>
  </si>
  <si>
    <t>matbu_mahoa</t>
  </si>
  <si>
    <t>oab_mahoa</t>
  </si>
  <si>
    <t>choangtim_mahoa</t>
  </si>
  <si>
    <t>hcvc</t>
  </si>
  <si>
    <t>suyhohap_mahoa</t>
  </si>
  <si>
    <t>rungnhi_mahoa</t>
  </si>
  <si>
    <t>hcvm_mahoa</t>
  </si>
  <si>
    <t>ketcuc_mahoa</t>
  </si>
  <si>
    <t>hcvc_mahoa</t>
  </si>
  <si>
    <t>tong_GWTG</t>
  </si>
  <si>
    <t>adhere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</si>
</sst>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2" borderId="0" xfId="0" applyFill="1"/>
    <xf numFmtId="0" fontId="1" fillId="2" borderId="2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/>
    <xf numFmtId="0" fontId="1" fillId="3" borderId="2" xfId="0" applyFont="1" applyFill="1" applyBorder="1" applyAlignment="1">
      <alignment vertical="center"/>
    </xf>
    <xf numFmtId="0" fontId="0" fillId="0" borderId="2" xfId="0" applyBorder="1"/>
    <xf numFmtId="0" fontId="3" fillId="0" borderId="2" xfId="0" applyFont="1" applyBorder="1"/>
    <xf numFmtId="0" fontId="0" fillId="0" borderId="3" xfId="0" applyBorder="1"/>
    <xf numFmtId="0" fontId="0" fillId="2" borderId="2" xfId="0" applyFill="1" applyBorder="1"/>
    <xf numFmtId="0" fontId="3" fillId="0" borderId="3" xfId="0" applyFont="1" applyBorder="1"/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2" borderId="3" xfId="0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1" fillId="4" borderId="1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vertical="center"/>
    </xf>
    <xf numFmtId="0" fontId="0" fillId="4" borderId="2" xfId="0" applyFill="1" applyBorder="1"/>
    <xf numFmtId="0" fontId="1" fillId="4" borderId="2" xfId="0" applyFont="1" applyFill="1" applyBorder="1" applyAlignment="1">
      <alignment vertical="center"/>
    </xf>
    <xf numFmtId="0" fontId="0" fillId="4" borderId="0" xfId="0" applyFill="1"/>
    <xf numFmtId="0" fontId="0" fillId="4" borderId="3" xfId="0" applyFill="1" applyBorder="1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3" fillId="2" borderId="0" xfId="0" applyFont="1" applyFill="1"/>
    <xf numFmtId="0" fontId="1" fillId="4" borderId="4" xfId="0" applyFont="1" applyFill="1" applyBorder="1" applyAlignment="1">
      <alignment vertical="center"/>
    </xf>
    <xf numFmtId="0" fontId="0" fillId="2" borderId="0" xfId="0" applyNumberFormat="1" applyFill="1"/>
    <xf numFmtId="0" fontId="1" fillId="2" borderId="0" xfId="0" applyNumberFormat="1" applyFont="1" applyFill="1"/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>
          <fgColor indexed="64"/>
          <bgColor theme="4" tint="0.79998168889431442"/>
        </patternFill>
      </fill>
    </dxf>
    <dxf>
      <numFmt numFmtId="0" formatCode="General"/>
      <fill>
        <patternFill>
          <fgColor indexed="64"/>
          <bgColor theme="4" tint="0.79998168889431442"/>
        </patternFill>
      </fill>
    </dxf>
    <dxf>
      <numFmt numFmtId="0" formatCode="General"/>
      <fill>
        <patternFill>
          <fgColor indexed="64"/>
          <bgColor theme="9" tint="0.59999389629810485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numFmt numFmtId="0" formatCode="General"/>
      <fill>
        <patternFill>
          <fgColor indexed="64"/>
          <bgColor theme="4" tint="0.79998168889431442"/>
        </patternFill>
      </fill>
    </dxf>
    <dxf>
      <numFmt numFmtId="0" formatCode="General"/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ill>
        <patternFill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ill>
        <patternFill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âu trả lời biểu mẫu 1-style" pivot="0" count="3" xr9:uid="{00000000-0011-0000-FFFF-FFFF00000000}">
      <tableStyleElement type="headerRow" dxfId="44"/>
      <tableStyleElement type="firstRowStripe" dxfId="43"/>
      <tableStyleElement type="secondRowStripe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BB330" headerRowDxfId="41">
  <sortState xmlns:xlrd2="http://schemas.microsoft.com/office/spreadsheetml/2017/richdata2" ref="A2:AZ330">
    <sortCondition descending="1" ref="AW2:AW330"/>
  </sortState>
  <tableColumns count="54">
    <tableColumn id="2" xr3:uid="{00000000-0010-0000-0000-000002000000}" name="ho_va_ten"/>
    <tableColumn id="3" xr3:uid="{00000000-0010-0000-0000-000003000000}" name="tuoi" dataDxfId="40"/>
    <tableColumn id="6" xr3:uid="{40F52D1A-7AB7-E340-BDD7-61B739DCAAF6}" name="gioi_tinh_ma_hoa" dataDxfId="39">
      <calculatedColumnFormula>IF(Form_Responses1[[#This Row],[gioi_tinh]]="Nữ", 0, 1)</calculatedColumnFormula>
    </tableColumn>
    <tableColumn id="8" xr3:uid="{00000000-0010-0000-0000-000008000000}" name="gioi_tinh"/>
    <tableColumn id="9" xr3:uid="{00000000-0010-0000-0000-000009000000}" name="bmi" dataDxfId="38"/>
    <tableColumn id="7" xr3:uid="{B9BEBA7D-1392-094D-8EAE-4C9A5AD395A4}" name="dtd_mahoa" dataDxfId="37">
      <calculatedColumnFormula>IF(Form_Responses1[[#This Row],[dai_thao_duong]]="Không", 0, 1)</calculatedColumnFormula>
    </tableColumn>
    <tableColumn id="10" xr3:uid="{00000000-0010-0000-0000-00000A000000}" name="dai_thao_duong"/>
    <tableColumn id="15" xr3:uid="{13BB4083-B241-5747-BCC8-F30E01158FDF}" name="tha_mahoa" dataDxfId="36">
      <calculatedColumnFormula>IF(I2="Có", 1, 0)</calculatedColumnFormula>
    </tableColumn>
    <tableColumn id="11" xr3:uid="{00000000-0010-0000-0000-00000B000000}" name="tang_huyet_ap"/>
    <tableColumn id="46" xr3:uid="{0BAC3839-5925-3548-A071-24317F89602E}" name="hcvm_mahoa" dataDxfId="35">
      <calculatedColumnFormula>IF(Form_Responses1[[#This Row],[hoi_chung_vanh_man]]="Không", 0, 1)</calculatedColumnFormula>
    </tableColumn>
    <tableColumn id="12" xr3:uid="{00000000-0010-0000-0000-00000C000000}" name="hoi_chung_vanh_man"/>
    <tableColumn id="47" xr3:uid="{8685A48D-40CC-6E4A-A89A-810703586A9D}" name="ckd_mahoa" dataDxfId="34">
      <calculatedColumnFormula>IF(Form_Responses1[[#This Row],[ckd]]="Không", 0, 1)</calculatedColumnFormula>
    </tableColumn>
    <tableColumn id="13" xr3:uid="{00000000-0010-0000-0000-00000D000000}" name="ckd"/>
    <tableColumn id="48" xr3:uid="{416D4334-2725-B543-9ACF-9B4664F97C52}" name="copd_mahoa" dataDxfId="33">
      <calculatedColumnFormula>IF(O2="Không", 0, 1)</calculatedColumnFormula>
    </tableColumn>
    <tableColumn id="14" xr3:uid="{00000000-0010-0000-0000-00000E000000}" name="copd"/>
    <tableColumn id="51" xr3:uid="{06FDE4BD-031F-6E43-8B55-091ECE50E44F}" name="matbu_mahoa" dataDxfId="32">
      <calculatedColumnFormula>IF(Form_Responses1[[#This Row],[phan_loai_the_lam_sang]]="Suy tim mất bù cấp", 1,0)</calculatedColumnFormula>
    </tableColumn>
    <tableColumn id="50" xr3:uid="{2136A4A3-0CFD-5A4A-8E05-E93C7826CDFE}" name="oab_mahoa" dataDxfId="31">
      <calculatedColumnFormula>IF(Form_Responses1[[#This Row],[phan_loai_the_lam_sang]]="Phù phổi cấp", 1, 0)</calculatedColumnFormula>
    </tableColumn>
    <tableColumn id="49" xr3:uid="{4BD4C306-111E-F746-8557-C784FE49C34E}" name="choangtim_mahoa" dataDxfId="30">
      <calculatedColumnFormula>IF(Form_Responses1[[#This Row],[phan_loai_the_lam_sang]]="Choáng tim", 1, 0)</calculatedColumnFormula>
    </tableColumn>
    <tableColumn id="16" xr3:uid="{00000000-0010-0000-0000-000010000000}" name="phan_loai_the_lam_sang"/>
    <tableColumn id="17" xr3:uid="{00000000-0010-0000-0000-000011000000}" name="mach" dataDxfId="29"/>
    <tableColumn id="18" xr3:uid="{00000000-0010-0000-0000-000012000000}" name="HATT" dataDxfId="28"/>
    <tableColumn id="19" xr3:uid="{00000000-0010-0000-0000-000013000000}" name="HATTr" dataDxfId="27"/>
    <tableColumn id="52" xr3:uid="{8D61B9FF-C4B6-1C41-8005-C20C11F7CE0E}" name="hcvc_mahoa" dataDxfId="26">
      <calculatedColumnFormula>IF(Form_Responses1[[#This Row],[hcvc]]="Không", 0, 1)</calculatedColumnFormula>
    </tableColumn>
    <tableColumn id="21" xr3:uid="{00000000-0010-0000-0000-000015000000}" name="hcvc"/>
    <tableColumn id="54" xr3:uid="{236E9A2D-F698-4D41-BFCC-F4B0694FA673}" name="suyhohap_mahoa" dataDxfId="25">
      <calculatedColumnFormula>IF(Form_Responses1[[#This Row],[suy_ho_hap]]="Không", 0, 1)</calculatedColumnFormula>
    </tableColumn>
    <tableColumn id="23" xr3:uid="{00000000-0010-0000-0000-000017000000}" name="suy_ho_hap"/>
    <tableColumn id="55" xr3:uid="{EA248A09-A8AC-7049-BE69-BD562F21288E}" name="rungnhi_mahoa" dataDxfId="24">
      <calculatedColumnFormula>IF(Form_Responses1[[#This Row],[rung_nhi]]="Không", 0, 1)</calculatedColumnFormula>
    </tableColumn>
    <tableColumn id="24" xr3:uid="{00000000-0010-0000-0000-000018000000}" name="rung_nhi"/>
    <tableColumn id="25" xr3:uid="{00000000-0010-0000-0000-000019000000}" name="QTc" dataDxfId="23"/>
    <tableColumn id="26" xr3:uid="{00000000-0010-0000-0000-00001A000000}" name="QRS" dataDxfId="22"/>
    <tableColumn id="27" xr3:uid="{00000000-0010-0000-0000-00001B000000}" name="WBC" dataDxfId="21"/>
    <tableColumn id="28" xr3:uid="{00000000-0010-0000-0000-00001C000000}" name="Hb" dataDxfId="20"/>
    <tableColumn id="29" xr3:uid="{00000000-0010-0000-0000-00001D000000}" name="PTL" dataDxfId="19"/>
    <tableColumn id="30" xr3:uid="{00000000-0010-0000-0000-00001E000000}" name="Na" dataDxfId="18"/>
    <tableColumn id="31" xr3:uid="{00000000-0010-0000-0000-00001F000000}" name="K" dataDxfId="17"/>
    <tableColumn id="32" xr3:uid="{00000000-0010-0000-0000-000020000000}" name="BUN" dataDxfId="16"/>
    <tableColumn id="33" xr3:uid="{00000000-0010-0000-0000-000021000000}" name="Creatinine" dataDxfId="15"/>
    <tableColumn id="34" xr3:uid="{00000000-0010-0000-0000-000022000000}" name="NT_proBNP &gt; 35000"/>
    <tableColumn id="35" xr3:uid="{00000000-0010-0000-0000-000023000000}" name="NT_ProBNP"/>
    <tableColumn id="5" xr3:uid="{A4EA1339-D41C-134C-BA48-A373D746F3D6}" name="ntprobnp_value" dataDxfId="14">
      <calculatedColumnFormula>IF(Form_Responses1[[#This Row],[NT_proBNP &gt; 35000]]="Có", 35001, Form_Responses1[[#This Row],[NT_ProBNP]])</calculatedColumnFormula>
    </tableColumn>
    <tableColumn id="4" xr3:uid="{28878A32-22BA-6140-8FD5-ABAE96939FC1}" name="ntprobnp_maxed" dataDxfId="13">
      <calculatedColumnFormula>IF(Form_Responses1[[#This Row],[NT_proBNP &gt; 35000]]="Có", 1, 0)</calculatedColumnFormula>
    </tableColumn>
    <tableColumn id="36" xr3:uid="{00000000-0010-0000-0000-000024000000}" name="Troponin I_hs" dataDxfId="12"/>
    <tableColumn id="37" xr3:uid="{00000000-0010-0000-0000-000025000000}" name="AST" dataDxfId="11"/>
    <tableColumn id="38" xr3:uid="{00000000-0010-0000-0000-000026000000}" name="ALT" dataDxfId="10"/>
    <tableColumn id="39" xr3:uid="{00000000-0010-0000-0000-000027000000}" name="Glucose" dataDxfId="9"/>
    <tableColumn id="40" xr3:uid="{00000000-0010-0000-0000-000028000000}" name="LAD" dataDxfId="8"/>
    <tableColumn id="41" xr3:uid="{00000000-0010-0000-0000-000029000000}" name="LVDs" dataDxfId="7"/>
    <tableColumn id="42" xr3:uid="{00000000-0010-0000-0000-00002A000000}" name="LVDd" dataDxfId="6"/>
    <tableColumn id="43" xr3:uid="{00000000-0010-0000-0000-00002B000000}" name="EF" dataDxfId="5"/>
    <tableColumn id="44" xr3:uid="{00000000-0010-0000-0000-00002C000000}" name="PAPs" dataDxfId="4"/>
    <tableColumn id="1" xr3:uid="{5084A8F8-F7F9-E94F-B05E-83230132ED02}" name="ketcuc_mahoa" dataDxfId="3">
      <calculatedColumnFormula>IF(Form_Responses1[[#This Row],[ket_cuc]]="Không tử vong", 0, 1)</calculatedColumnFormula>
    </tableColumn>
    <tableColumn id="45" xr3:uid="{00000000-0010-0000-0000-00002D000000}" name="ket_cuc"/>
    <tableColumn id="56" xr3:uid="{A0E93D1B-1EC2-1241-BFFA-02D59FEC7F15}" name="tong_GWTG" dataDxfId="2"/>
    <tableColumn id="57" xr3:uid="{87D95018-CAD7-394D-A93A-F7F6E11D92F0}" name="adhere" dataDxfId="1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331"/>
  <sheetViews>
    <sheetView tabSelected="1" topLeftCell="AY1" zoomScale="125" zoomScaleNormal="70" workbookViewId="0">
      <pane ySplit="1" topLeftCell="A2" activePane="bottomLeft" state="frozen"/>
      <selection pane="bottomLeft" activeCell="BB1" sqref="BB1"/>
    </sheetView>
  </sheetViews>
  <sheetFormatPr baseColWidth="10" defaultColWidth="12.6640625" defaultRowHeight="15.75" customHeight="1" x14ac:dyDescent="0.15"/>
  <cols>
    <col min="1" max="1" width="18.83203125" customWidth="1"/>
    <col min="2" max="3" width="18.83203125" style="5" customWidth="1"/>
    <col min="4" max="4" width="18.83203125" customWidth="1"/>
    <col min="5" max="6" width="18.83203125" style="5" customWidth="1"/>
    <col min="7" max="7" width="18.83203125" customWidth="1"/>
    <col min="8" max="8" width="18.83203125" style="5" customWidth="1"/>
    <col min="9" max="9" width="18.83203125" customWidth="1"/>
    <col min="10" max="10" width="18.83203125" style="5" customWidth="1"/>
    <col min="11" max="11" width="20.33203125" customWidth="1"/>
    <col min="12" max="12" width="20.33203125" style="5" customWidth="1"/>
    <col min="13" max="13" width="18.83203125" customWidth="1"/>
    <col min="14" max="14" width="18.83203125" style="5" customWidth="1"/>
    <col min="15" max="15" width="8.5" customWidth="1"/>
    <col min="16" max="16" width="13.33203125" style="5" customWidth="1"/>
    <col min="17" max="17" width="13.5" style="5" customWidth="1"/>
    <col min="18" max="18" width="16.1640625" style="5" customWidth="1"/>
    <col min="19" max="19" width="22.6640625" customWidth="1"/>
    <col min="20" max="23" width="18.83203125" style="5" customWidth="1"/>
    <col min="24" max="24" width="19.6640625" customWidth="1"/>
    <col min="25" max="25" width="18" style="5" customWidth="1"/>
    <col min="26" max="26" width="18.83203125" customWidth="1"/>
    <col min="27" max="27" width="18.83203125" style="5" customWidth="1"/>
    <col min="28" max="28" width="18.83203125" customWidth="1"/>
    <col min="29" max="37" width="18.83203125" style="5" customWidth="1"/>
    <col min="38" max="38" width="19.6640625" customWidth="1"/>
    <col min="39" max="39" width="12.83203125" customWidth="1"/>
    <col min="40" max="50" width="18.83203125" style="5" customWidth="1"/>
    <col min="51" max="51" width="18.83203125" style="25" customWidth="1"/>
    <col min="52" max="53" width="18.83203125" customWidth="1"/>
  </cols>
  <sheetData>
    <row r="1" spans="1:54" s="5" customFormat="1" ht="29" customHeight="1" x14ac:dyDescent="0.15">
      <c r="A1" s="4" t="s">
        <v>347</v>
      </c>
      <c r="B1" s="4" t="s">
        <v>348</v>
      </c>
      <c r="C1" s="4" t="s">
        <v>365</v>
      </c>
      <c r="D1" s="4" t="s">
        <v>349</v>
      </c>
      <c r="E1" s="4" t="s">
        <v>350</v>
      </c>
      <c r="F1" s="4" t="s">
        <v>366</v>
      </c>
      <c r="G1" s="4" t="s">
        <v>351</v>
      </c>
      <c r="H1" s="4" t="s">
        <v>367</v>
      </c>
      <c r="I1" s="4" t="s">
        <v>352</v>
      </c>
      <c r="J1" s="4" t="s">
        <v>377</v>
      </c>
      <c r="K1" s="4" t="s">
        <v>353</v>
      </c>
      <c r="L1" s="4" t="s">
        <v>368</v>
      </c>
      <c r="M1" s="4" t="s">
        <v>369</v>
      </c>
      <c r="N1" s="4" t="s">
        <v>370</v>
      </c>
      <c r="O1" s="4" t="s">
        <v>354</v>
      </c>
      <c r="P1" s="4" t="s">
        <v>371</v>
      </c>
      <c r="Q1" s="4" t="s">
        <v>372</v>
      </c>
      <c r="R1" s="4" t="s">
        <v>373</v>
      </c>
      <c r="S1" s="4" t="s">
        <v>355</v>
      </c>
      <c r="T1" s="4" t="s">
        <v>356</v>
      </c>
      <c r="U1" s="4" t="s">
        <v>0</v>
      </c>
      <c r="V1" s="4" t="s">
        <v>1</v>
      </c>
      <c r="W1" s="4" t="s">
        <v>379</v>
      </c>
      <c r="X1" s="4" t="s">
        <v>374</v>
      </c>
      <c r="Y1" s="4" t="s">
        <v>375</v>
      </c>
      <c r="Z1" s="4" t="s">
        <v>357</v>
      </c>
      <c r="AA1" s="4" t="s">
        <v>376</v>
      </c>
      <c r="AB1" s="4" t="s">
        <v>358</v>
      </c>
      <c r="AC1" s="4" t="s">
        <v>2</v>
      </c>
      <c r="AD1" s="4" t="s">
        <v>3</v>
      </c>
      <c r="AE1" s="4" t="s">
        <v>4</v>
      </c>
      <c r="AF1" s="4" t="s">
        <v>5</v>
      </c>
      <c r="AG1" s="4" t="s">
        <v>6</v>
      </c>
      <c r="AH1" s="4" t="s">
        <v>7</v>
      </c>
      <c r="AI1" s="4" t="s">
        <v>8</v>
      </c>
      <c r="AJ1" s="4" t="s">
        <v>9</v>
      </c>
      <c r="AK1" s="4" t="s">
        <v>10</v>
      </c>
      <c r="AL1" s="4" t="s">
        <v>359</v>
      </c>
      <c r="AM1" s="4" t="s">
        <v>360</v>
      </c>
      <c r="AN1" s="4" t="s">
        <v>363</v>
      </c>
      <c r="AO1" s="4" t="s">
        <v>364</v>
      </c>
      <c r="AP1" s="4" t="s">
        <v>361</v>
      </c>
      <c r="AQ1" s="4" t="s">
        <v>11</v>
      </c>
      <c r="AR1" s="4" t="s">
        <v>12</v>
      </c>
      <c r="AS1" s="4" t="s">
        <v>13</v>
      </c>
      <c r="AT1" s="4" t="s">
        <v>14</v>
      </c>
      <c r="AU1" s="4" t="s">
        <v>15</v>
      </c>
      <c r="AV1" s="4" t="s">
        <v>16</v>
      </c>
      <c r="AW1" s="4" t="s">
        <v>17</v>
      </c>
      <c r="AX1" s="4" t="s">
        <v>18</v>
      </c>
      <c r="AY1" s="21" t="s">
        <v>378</v>
      </c>
      <c r="AZ1" s="4" t="s">
        <v>362</v>
      </c>
      <c r="BA1" s="30" t="s">
        <v>380</v>
      </c>
      <c r="BB1" s="30" t="s">
        <v>381</v>
      </c>
    </row>
    <row r="2" spans="1:54" ht="15.75" customHeight="1" x14ac:dyDescent="0.15">
      <c r="A2" s="1" t="s">
        <v>242</v>
      </c>
      <c r="B2" s="6">
        <v>67</v>
      </c>
      <c r="C2" s="6">
        <f>IF(Form_Responses1[[#This Row],[gioi_tinh]]="Nữ", 0, 1)</f>
        <v>0</v>
      </c>
      <c r="D2" s="1" t="s">
        <v>20</v>
      </c>
      <c r="E2" s="6">
        <v>29.3</v>
      </c>
      <c r="F2" s="6">
        <f>IF(Form_Responses1[[#This Row],[dai_thao_duong]]="Không", 0, 1)</f>
        <v>0</v>
      </c>
      <c r="G2" s="1" t="s">
        <v>21</v>
      </c>
      <c r="H2" s="6">
        <f t="shared" ref="H2:H65" si="0">IF(I2="Có", 1, 0)</f>
        <v>1</v>
      </c>
      <c r="I2" s="1" t="s">
        <v>22</v>
      </c>
      <c r="J2" s="6">
        <f>IF(Form_Responses1[[#This Row],[hoi_chung_vanh_man]]="Không", 0, 1)</f>
        <v>1</v>
      </c>
      <c r="K2" s="1" t="s">
        <v>22</v>
      </c>
      <c r="L2" s="6">
        <f>IF(Form_Responses1[[#This Row],[ckd]]="Không", 0, 1)</f>
        <v>0</v>
      </c>
      <c r="M2" s="1" t="s">
        <v>21</v>
      </c>
      <c r="N2" s="6">
        <f t="shared" ref="N2:N65" si="1">IF(O2="Không", 0, 1)</f>
        <v>0</v>
      </c>
      <c r="O2" s="1" t="s">
        <v>21</v>
      </c>
      <c r="P2" s="6">
        <f>IF(Form_Responses1[[#This Row],[phan_loai_the_lam_sang]]="Suy tim mất bù cấp", 1,0)</f>
        <v>1</v>
      </c>
      <c r="Q2" s="6">
        <f>IF(Form_Responses1[[#This Row],[phan_loai_the_lam_sang]]="Phù phổi cấp", 1, 0)</f>
        <v>0</v>
      </c>
      <c r="R2" s="6">
        <f>IF(Form_Responses1[[#This Row],[phan_loai_the_lam_sang]]="Choáng tim", 1, 0)</f>
        <v>0</v>
      </c>
      <c r="S2" s="1" t="s">
        <v>23</v>
      </c>
      <c r="T2" s="6">
        <v>78</v>
      </c>
      <c r="U2" s="6">
        <v>150</v>
      </c>
      <c r="V2" s="6">
        <v>80</v>
      </c>
      <c r="W2" s="6">
        <f>IF(Form_Responses1[[#This Row],[hcvc]]="Không", 0, 1)</f>
        <v>0</v>
      </c>
      <c r="X2" s="1" t="s">
        <v>21</v>
      </c>
      <c r="Y2" s="6">
        <f>IF(Form_Responses1[[#This Row],[suy_ho_hap]]="Không", 0, 1)</f>
        <v>1</v>
      </c>
      <c r="Z2" s="1" t="s">
        <v>22</v>
      </c>
      <c r="AA2" s="27">
        <f>IF(Form_Responses1[[#This Row],[rung_nhi]]="Không", 0, 1)</f>
        <v>0</v>
      </c>
      <c r="AB2" s="28" t="s">
        <v>21</v>
      </c>
      <c r="AC2" s="6">
        <v>459</v>
      </c>
      <c r="AD2" s="6">
        <v>7.0000000000000007E-2</v>
      </c>
      <c r="AE2" s="6">
        <v>11.51</v>
      </c>
      <c r="AF2" s="6">
        <v>107</v>
      </c>
      <c r="AG2" s="6">
        <v>243</v>
      </c>
      <c r="AH2" s="6">
        <v>139</v>
      </c>
      <c r="AI2" s="6">
        <v>3.7</v>
      </c>
      <c r="AJ2" s="6">
        <v>14</v>
      </c>
      <c r="AK2" s="6">
        <v>0.57999999999999996</v>
      </c>
      <c r="AL2" s="1" t="s">
        <v>21</v>
      </c>
      <c r="AM2" s="1">
        <v>6372.95</v>
      </c>
      <c r="AN2" s="6">
        <f>IF(Form_Responses1[[#This Row],[NT_proBNP &gt; 35000]]="Có", 35001, Form_Responses1[[#This Row],[NT_ProBNP]])</f>
        <v>6372.95</v>
      </c>
      <c r="AO2" s="6">
        <f>IF(Form_Responses1[[#This Row],[NT_proBNP &gt; 35000]]="Có", 1, 0)</f>
        <v>0</v>
      </c>
      <c r="AP2" s="6">
        <v>248.22</v>
      </c>
      <c r="AQ2" s="6">
        <v>31</v>
      </c>
      <c r="AR2" s="6">
        <v>26</v>
      </c>
      <c r="AS2" s="6">
        <v>176</v>
      </c>
      <c r="AT2" s="6">
        <v>46.5</v>
      </c>
      <c r="AU2" s="6">
        <v>16.100000000000001</v>
      </c>
      <c r="AV2" s="6">
        <v>37.700000000000003</v>
      </c>
      <c r="AW2" s="6">
        <v>77</v>
      </c>
      <c r="AX2" s="27">
        <v>20</v>
      </c>
      <c r="AY2" s="29">
        <f>IF(Form_Responses1[[#This Row],[ket_cuc]]="Không tử vong", 0, 1)</f>
        <v>0</v>
      </c>
      <c r="AZ2" s="1" t="s">
        <v>24</v>
      </c>
      <c r="BA2" s="32">
        <v>28</v>
      </c>
      <c r="BB2" s="32">
        <v>4.7074736551671083E-2</v>
      </c>
    </row>
    <row r="3" spans="1:54" ht="15.75" customHeight="1" x14ac:dyDescent="0.15">
      <c r="A3" s="2" t="s">
        <v>168</v>
      </c>
      <c r="B3" s="15">
        <v>79</v>
      </c>
      <c r="C3" s="15">
        <f>IF(Form_Responses1[[#This Row],[gioi_tinh]]="Nữ", 0, 1)</f>
        <v>0</v>
      </c>
      <c r="D3" s="2" t="s">
        <v>20</v>
      </c>
      <c r="E3" s="15">
        <v>22.2</v>
      </c>
      <c r="F3" s="15">
        <f>IF(Form_Responses1[[#This Row],[dai_thao_duong]]="Không", 0, 1)</f>
        <v>1</v>
      </c>
      <c r="G3" s="2" t="s">
        <v>22</v>
      </c>
      <c r="H3" s="15">
        <f t="shared" si="0"/>
        <v>0</v>
      </c>
      <c r="I3" s="2" t="s">
        <v>21</v>
      </c>
      <c r="J3" s="15">
        <f>IF(Form_Responses1[[#This Row],[hoi_chung_vanh_man]]="Không", 0, 1)</f>
        <v>0</v>
      </c>
      <c r="K3" s="2" t="s">
        <v>21</v>
      </c>
      <c r="L3" s="15">
        <f>IF(Form_Responses1[[#This Row],[ckd]]="Không", 0, 1)</f>
        <v>0</v>
      </c>
      <c r="M3" s="2" t="s">
        <v>21</v>
      </c>
      <c r="N3" s="15">
        <f t="shared" si="1"/>
        <v>0</v>
      </c>
      <c r="O3" s="2" t="s">
        <v>21</v>
      </c>
      <c r="P3" s="15">
        <f>IF(Form_Responses1[[#This Row],[phan_loai_the_lam_sang]]="Suy tim mất bù cấp", 1,0)</f>
        <v>1</v>
      </c>
      <c r="Q3" s="15">
        <f>IF(Form_Responses1[[#This Row],[phan_loai_the_lam_sang]]="Phù phổi cấp", 1, 0)</f>
        <v>0</v>
      </c>
      <c r="R3" s="15">
        <f>IF(Form_Responses1[[#This Row],[phan_loai_the_lam_sang]]="Choáng tim", 1, 0)</f>
        <v>0</v>
      </c>
      <c r="S3" s="2" t="s">
        <v>23</v>
      </c>
      <c r="T3" s="15">
        <v>82</v>
      </c>
      <c r="U3" s="15">
        <v>140</v>
      </c>
      <c r="V3" s="15">
        <v>80</v>
      </c>
      <c r="W3" s="15">
        <f>IF(Form_Responses1[[#This Row],[hcvc]]="Không", 0, 1)</f>
        <v>0</v>
      </c>
      <c r="X3" s="2" t="s">
        <v>21</v>
      </c>
      <c r="Y3" s="15">
        <f>IF(Form_Responses1[[#This Row],[suy_ho_hap]]="Không", 0, 1)</f>
        <v>1</v>
      </c>
      <c r="Z3" s="2" t="s">
        <v>22</v>
      </c>
      <c r="AA3" s="15">
        <f>IF(Form_Responses1[[#This Row],[rung_nhi]]="Không", 0, 1)</f>
        <v>1</v>
      </c>
      <c r="AB3" s="2" t="s">
        <v>22</v>
      </c>
      <c r="AC3" s="15">
        <v>423</v>
      </c>
      <c r="AD3" s="15">
        <v>0.08</v>
      </c>
      <c r="AE3" s="15">
        <v>13.76</v>
      </c>
      <c r="AF3" s="15">
        <v>115</v>
      </c>
      <c r="AG3" s="15">
        <v>155</v>
      </c>
      <c r="AH3" s="15">
        <v>133</v>
      </c>
      <c r="AI3" s="15">
        <v>3</v>
      </c>
      <c r="AJ3" s="15">
        <v>9</v>
      </c>
      <c r="AK3" s="15">
        <v>0.91</v>
      </c>
      <c r="AL3" s="2" t="s">
        <v>21</v>
      </c>
      <c r="AM3" s="28">
        <v>4432</v>
      </c>
      <c r="AN3" s="6">
        <f>IF(Form_Responses1[[#This Row],[NT_proBNP &gt; 35000]]="Có", 35001, Form_Responses1[[#This Row],[NT_ProBNP]])</f>
        <v>4432</v>
      </c>
      <c r="AO3" s="27">
        <f>IF(Form_Responses1[[#This Row],[NT_proBNP &gt; 35000]]="Có", 1, 0)</f>
        <v>0</v>
      </c>
      <c r="AP3" s="15">
        <v>14.2</v>
      </c>
      <c r="AQ3" s="15">
        <v>20</v>
      </c>
      <c r="AR3" s="15">
        <v>29</v>
      </c>
      <c r="AS3" s="15">
        <v>171</v>
      </c>
      <c r="AT3" s="15">
        <v>52</v>
      </c>
      <c r="AU3" s="15">
        <v>14.7</v>
      </c>
      <c r="AV3" s="15">
        <v>25.6</v>
      </c>
      <c r="AW3" s="15">
        <v>75</v>
      </c>
      <c r="AX3" s="18"/>
      <c r="AY3" s="26">
        <f>IF(Form_Responses1[[#This Row],[ket_cuc]]="Không tử vong", 0, 1)</f>
        <v>0</v>
      </c>
      <c r="AZ3" s="2" t="s">
        <v>24</v>
      </c>
      <c r="BA3" s="32">
        <v>35</v>
      </c>
      <c r="BB3" s="32">
        <v>6.2047446883927999E-2</v>
      </c>
    </row>
    <row r="4" spans="1:54" ht="15.75" customHeight="1" x14ac:dyDescent="0.15">
      <c r="A4" s="1" t="s">
        <v>229</v>
      </c>
      <c r="B4" s="6">
        <v>73</v>
      </c>
      <c r="C4" s="6">
        <f>IF(Form_Responses1[[#This Row],[gioi_tinh]]="Nữ", 0, 1)</f>
        <v>0</v>
      </c>
      <c r="D4" s="1" t="s">
        <v>20</v>
      </c>
      <c r="E4" s="6">
        <v>20</v>
      </c>
      <c r="F4" s="6">
        <f>IF(Form_Responses1[[#This Row],[dai_thao_duong]]="Không", 0, 1)</f>
        <v>1</v>
      </c>
      <c r="G4" s="1" t="s">
        <v>22</v>
      </c>
      <c r="H4" s="6">
        <f t="shared" si="0"/>
        <v>1</v>
      </c>
      <c r="I4" s="1" t="s">
        <v>22</v>
      </c>
      <c r="J4" s="6">
        <f>IF(Form_Responses1[[#This Row],[hoi_chung_vanh_man]]="Không", 0, 1)</f>
        <v>1</v>
      </c>
      <c r="K4" s="1" t="s">
        <v>22</v>
      </c>
      <c r="L4" s="6">
        <f>IF(Form_Responses1[[#This Row],[ckd]]="Không", 0, 1)</f>
        <v>1</v>
      </c>
      <c r="M4" s="1" t="s">
        <v>22</v>
      </c>
      <c r="N4" s="6">
        <f t="shared" si="1"/>
        <v>0</v>
      </c>
      <c r="O4" s="1" t="s">
        <v>21</v>
      </c>
      <c r="P4" s="6">
        <f>IF(Form_Responses1[[#This Row],[phan_loai_the_lam_sang]]="Suy tim mất bù cấp", 1,0)</f>
        <v>0</v>
      </c>
      <c r="Q4" s="6">
        <f>IF(Form_Responses1[[#This Row],[phan_loai_the_lam_sang]]="Phù phổi cấp", 1, 0)</f>
        <v>1</v>
      </c>
      <c r="R4" s="6">
        <f>IF(Form_Responses1[[#This Row],[phan_loai_the_lam_sang]]="Choáng tim", 1, 0)</f>
        <v>0</v>
      </c>
      <c r="S4" s="1" t="s">
        <v>45</v>
      </c>
      <c r="T4" s="6">
        <v>94</v>
      </c>
      <c r="U4" s="6">
        <v>180</v>
      </c>
      <c r="V4" s="6">
        <v>100</v>
      </c>
      <c r="W4" s="6">
        <f>IF(Form_Responses1[[#This Row],[hcvc]]="Không", 0, 1)</f>
        <v>0</v>
      </c>
      <c r="X4" s="1" t="s">
        <v>21</v>
      </c>
      <c r="Y4" s="6">
        <f>IF(Form_Responses1[[#This Row],[suy_ho_hap]]="Không", 0, 1)</f>
        <v>1</v>
      </c>
      <c r="Z4" s="1" t="s">
        <v>22</v>
      </c>
      <c r="AA4" s="6">
        <f>IF(Form_Responses1[[#This Row],[rung_nhi]]="Không", 0, 1)</f>
        <v>0</v>
      </c>
      <c r="AB4" s="1" t="s">
        <v>21</v>
      </c>
      <c r="AC4" s="6">
        <v>450</v>
      </c>
      <c r="AD4" s="6">
        <v>0.08</v>
      </c>
      <c r="AE4" s="6">
        <v>11.5</v>
      </c>
      <c r="AF4" s="6">
        <v>104</v>
      </c>
      <c r="AG4" s="6">
        <v>258</v>
      </c>
      <c r="AH4" s="6">
        <v>131</v>
      </c>
      <c r="AI4" s="6">
        <v>3.3</v>
      </c>
      <c r="AJ4" s="6">
        <v>35</v>
      </c>
      <c r="AK4" s="6">
        <v>5.32</v>
      </c>
      <c r="AL4" s="1" t="s">
        <v>22</v>
      </c>
      <c r="AM4" s="10"/>
      <c r="AN4" s="6">
        <f>IF(Form_Responses1[[#This Row],[NT_proBNP &gt; 35000]]="Có", 35001, Form_Responses1[[#This Row],[NT_ProBNP]])</f>
        <v>35001</v>
      </c>
      <c r="AO4" s="13">
        <f>IF(Form_Responses1[[#This Row],[NT_proBNP &gt; 35000]]="Có", 1, 0)</f>
        <v>1</v>
      </c>
      <c r="AP4" s="6">
        <v>147.16999999999999</v>
      </c>
      <c r="AQ4" s="6">
        <v>16</v>
      </c>
      <c r="AR4" s="6">
        <v>8</v>
      </c>
      <c r="AS4" s="6">
        <v>211</v>
      </c>
      <c r="AT4" s="13"/>
      <c r="AU4" s="6">
        <v>18.2</v>
      </c>
      <c r="AV4" s="6">
        <v>33.200000000000003</v>
      </c>
      <c r="AW4" s="6">
        <v>75</v>
      </c>
      <c r="AX4" s="6">
        <v>15</v>
      </c>
      <c r="AY4" s="24">
        <f>IF(Form_Responses1[[#This Row],[ket_cuc]]="Không tử vong", 0, 1)</f>
        <v>0</v>
      </c>
      <c r="AZ4" s="1" t="s">
        <v>24</v>
      </c>
      <c r="BA4" s="32">
        <v>37</v>
      </c>
      <c r="BB4" s="32">
        <v>7.1478289674030554E-2</v>
      </c>
    </row>
    <row r="5" spans="1:54" ht="15.75" customHeight="1" x14ac:dyDescent="0.15">
      <c r="A5" s="2" t="s">
        <v>316</v>
      </c>
      <c r="B5" s="15">
        <v>65</v>
      </c>
      <c r="C5" s="15">
        <f>IF(Form_Responses1[[#This Row],[gioi_tinh]]="Nữ", 0, 1)</f>
        <v>0</v>
      </c>
      <c r="D5" s="2" t="s">
        <v>20</v>
      </c>
      <c r="E5" s="15">
        <v>12.5</v>
      </c>
      <c r="F5" s="15">
        <f>IF(Form_Responses1[[#This Row],[dai_thao_duong]]="Không", 0, 1)</f>
        <v>0</v>
      </c>
      <c r="G5" s="2" t="s">
        <v>21</v>
      </c>
      <c r="H5" s="15">
        <f t="shared" si="0"/>
        <v>0</v>
      </c>
      <c r="I5" s="2" t="s">
        <v>21</v>
      </c>
      <c r="J5" s="15">
        <f>IF(Form_Responses1[[#This Row],[hoi_chung_vanh_man]]="Không", 0, 1)</f>
        <v>0</v>
      </c>
      <c r="K5" s="2" t="s">
        <v>21</v>
      </c>
      <c r="L5" s="15">
        <f>IF(Form_Responses1[[#This Row],[ckd]]="Không", 0, 1)</f>
        <v>0</v>
      </c>
      <c r="M5" s="2" t="s">
        <v>21</v>
      </c>
      <c r="N5" s="15">
        <f t="shared" si="1"/>
        <v>0</v>
      </c>
      <c r="O5" s="2" t="s">
        <v>21</v>
      </c>
      <c r="P5" s="15">
        <f>IF(Form_Responses1[[#This Row],[phan_loai_the_lam_sang]]="Suy tim mất bù cấp", 1,0)</f>
        <v>0</v>
      </c>
      <c r="Q5" s="15">
        <f>IF(Form_Responses1[[#This Row],[phan_loai_the_lam_sang]]="Phù phổi cấp", 1, 0)</f>
        <v>1</v>
      </c>
      <c r="R5" s="15">
        <f>IF(Form_Responses1[[#This Row],[phan_loai_the_lam_sang]]="Choáng tim", 1, 0)</f>
        <v>0</v>
      </c>
      <c r="S5" s="2" t="s">
        <v>45</v>
      </c>
      <c r="T5" s="15">
        <v>90</v>
      </c>
      <c r="U5" s="15">
        <v>120</v>
      </c>
      <c r="V5" s="15">
        <v>60</v>
      </c>
      <c r="W5" s="15">
        <f>IF(Form_Responses1[[#This Row],[hcvc]]="Không", 0, 1)</f>
        <v>0</v>
      </c>
      <c r="X5" s="2" t="s">
        <v>21</v>
      </c>
      <c r="Y5" s="15">
        <f>IF(Form_Responses1[[#This Row],[suy_ho_hap]]="Không", 0, 1)</f>
        <v>1</v>
      </c>
      <c r="Z5" s="2" t="s">
        <v>22</v>
      </c>
      <c r="AA5" s="15">
        <f>IF(Form_Responses1[[#This Row],[rung_nhi]]="Không", 0, 1)</f>
        <v>0</v>
      </c>
      <c r="AB5" s="2" t="s">
        <v>21</v>
      </c>
      <c r="AC5" s="15">
        <v>424</v>
      </c>
      <c r="AD5" s="15">
        <v>0.09</v>
      </c>
      <c r="AE5" s="15">
        <v>13.66</v>
      </c>
      <c r="AF5" s="15">
        <v>138</v>
      </c>
      <c r="AG5" s="15">
        <v>213</v>
      </c>
      <c r="AH5" s="15">
        <v>139</v>
      </c>
      <c r="AI5" s="15">
        <v>4.3</v>
      </c>
      <c r="AJ5" s="15">
        <v>12.6</v>
      </c>
      <c r="AK5" s="15">
        <v>1.67</v>
      </c>
      <c r="AL5" s="2" t="s">
        <v>22</v>
      </c>
      <c r="AM5" s="12"/>
      <c r="AN5" s="6">
        <f>IF(Form_Responses1[[#This Row],[NT_proBNP &gt; 35000]]="Có", 35001, Form_Responses1[[#This Row],[NT_ProBNP]])</f>
        <v>35001</v>
      </c>
      <c r="AO5" s="18">
        <f>IF(Form_Responses1[[#This Row],[NT_proBNP &gt; 35000]]="Có", 1, 0)</f>
        <v>1</v>
      </c>
      <c r="AP5" s="15">
        <v>1443.27</v>
      </c>
      <c r="AQ5" s="15">
        <v>291</v>
      </c>
      <c r="AR5" s="15">
        <v>202</v>
      </c>
      <c r="AS5" s="15">
        <v>158</v>
      </c>
      <c r="AT5" s="15">
        <v>42</v>
      </c>
      <c r="AU5" s="15">
        <v>26.1</v>
      </c>
      <c r="AV5" s="15">
        <v>46.8</v>
      </c>
      <c r="AW5" s="15">
        <v>75</v>
      </c>
      <c r="AX5" s="15">
        <v>85</v>
      </c>
      <c r="AY5" s="22">
        <f>IF(Form_Responses1[[#This Row],[ket_cuc]]="Không tử vong", 0, 1)</f>
        <v>0</v>
      </c>
      <c r="AZ5" s="2" t="s">
        <v>24</v>
      </c>
      <c r="BA5" s="32">
        <v>38</v>
      </c>
      <c r="BB5" s="32">
        <v>7.2166255553824554E-2</v>
      </c>
    </row>
    <row r="6" spans="1:54" ht="15.75" customHeight="1" x14ac:dyDescent="0.15">
      <c r="A6" s="1" t="s">
        <v>155</v>
      </c>
      <c r="B6" s="6">
        <v>59</v>
      </c>
      <c r="C6" s="6">
        <f>IF(Form_Responses1[[#This Row],[gioi_tinh]]="Nữ", 0, 1)</f>
        <v>0</v>
      </c>
      <c r="D6" s="1" t="s">
        <v>20</v>
      </c>
      <c r="E6" s="6">
        <v>23.8</v>
      </c>
      <c r="F6" s="6">
        <f>IF(Form_Responses1[[#This Row],[dai_thao_duong]]="Không", 0, 1)</f>
        <v>1</v>
      </c>
      <c r="G6" s="1" t="s">
        <v>22</v>
      </c>
      <c r="H6" s="6">
        <f t="shared" si="0"/>
        <v>1</v>
      </c>
      <c r="I6" s="1" t="s">
        <v>22</v>
      </c>
      <c r="J6" s="6">
        <f>IF(Form_Responses1[[#This Row],[hoi_chung_vanh_man]]="Không", 0, 1)</f>
        <v>0</v>
      </c>
      <c r="K6" s="1" t="s">
        <v>21</v>
      </c>
      <c r="L6" s="6">
        <f>IF(Form_Responses1[[#This Row],[ckd]]="Không", 0, 1)</f>
        <v>1</v>
      </c>
      <c r="M6" s="1" t="s">
        <v>22</v>
      </c>
      <c r="N6" s="6">
        <f t="shared" si="1"/>
        <v>0</v>
      </c>
      <c r="O6" s="1" t="s">
        <v>21</v>
      </c>
      <c r="P6" s="6">
        <f>IF(Form_Responses1[[#This Row],[phan_loai_the_lam_sang]]="Suy tim mất bù cấp", 1,0)</f>
        <v>1</v>
      </c>
      <c r="Q6" s="6">
        <f>IF(Form_Responses1[[#This Row],[phan_loai_the_lam_sang]]="Phù phổi cấp", 1, 0)</f>
        <v>0</v>
      </c>
      <c r="R6" s="6">
        <f>IF(Form_Responses1[[#This Row],[phan_loai_the_lam_sang]]="Choáng tim", 1, 0)</f>
        <v>0</v>
      </c>
      <c r="S6" s="1" t="s">
        <v>23</v>
      </c>
      <c r="T6" s="6">
        <v>69</v>
      </c>
      <c r="U6" s="6">
        <v>170</v>
      </c>
      <c r="V6" s="6">
        <v>70</v>
      </c>
      <c r="W6" s="6">
        <f>IF(Form_Responses1[[#This Row],[hcvc]]="Không", 0, 1)</f>
        <v>0</v>
      </c>
      <c r="X6" s="1" t="s">
        <v>21</v>
      </c>
      <c r="Y6" s="6">
        <f>IF(Form_Responses1[[#This Row],[suy_ho_hap]]="Không", 0, 1)</f>
        <v>0</v>
      </c>
      <c r="Z6" s="1" t="s">
        <v>21</v>
      </c>
      <c r="AA6" s="6">
        <f>IF(Form_Responses1[[#This Row],[rung_nhi]]="Không", 0, 1)</f>
        <v>0</v>
      </c>
      <c r="AB6" s="1" t="s">
        <v>21</v>
      </c>
      <c r="AC6" s="6">
        <v>492</v>
      </c>
      <c r="AD6" s="6">
        <v>0.08</v>
      </c>
      <c r="AE6" s="6">
        <v>11.33</v>
      </c>
      <c r="AF6" s="6">
        <v>80</v>
      </c>
      <c r="AG6" s="6">
        <v>483</v>
      </c>
      <c r="AH6" s="6">
        <v>127</v>
      </c>
      <c r="AI6" s="6">
        <v>3.7</v>
      </c>
      <c r="AJ6" s="6">
        <v>44</v>
      </c>
      <c r="AK6" s="6">
        <v>2.89</v>
      </c>
      <c r="AL6" s="1" t="s">
        <v>22</v>
      </c>
      <c r="AM6" s="10"/>
      <c r="AN6" s="6">
        <f>IF(Form_Responses1[[#This Row],[NT_proBNP &gt; 35000]]="Có", 35001, Form_Responses1[[#This Row],[NT_ProBNP]])</f>
        <v>35001</v>
      </c>
      <c r="AO6" s="13">
        <f>IF(Form_Responses1[[#This Row],[NT_proBNP &gt; 35000]]="Có", 1, 0)</f>
        <v>1</v>
      </c>
      <c r="AP6" s="13"/>
      <c r="AQ6" s="6">
        <v>36</v>
      </c>
      <c r="AR6" s="6">
        <v>43</v>
      </c>
      <c r="AS6" s="6">
        <v>379</v>
      </c>
      <c r="AT6" s="27">
        <v>42.2</v>
      </c>
      <c r="AU6" s="6">
        <v>24.4</v>
      </c>
      <c r="AV6" s="6">
        <v>43.7</v>
      </c>
      <c r="AW6" s="6">
        <v>75</v>
      </c>
      <c r="AX6" s="6">
        <v>60</v>
      </c>
      <c r="AY6" s="24">
        <f>IF(Form_Responses1[[#This Row],[ket_cuc]]="Không tử vong", 0, 1)</f>
        <v>0</v>
      </c>
      <c r="AZ6" s="1" t="s">
        <v>24</v>
      </c>
      <c r="BA6" s="32">
        <v>32</v>
      </c>
      <c r="BB6" s="32">
        <v>7.3911593835506176E-2</v>
      </c>
    </row>
    <row r="7" spans="1:54" ht="15.75" customHeight="1" x14ac:dyDescent="0.15">
      <c r="A7" s="2" t="s">
        <v>216</v>
      </c>
      <c r="B7" s="15">
        <v>48</v>
      </c>
      <c r="C7" s="15">
        <f>IF(Form_Responses1[[#This Row],[gioi_tinh]]="Nữ", 0, 1)</f>
        <v>1</v>
      </c>
      <c r="D7" s="2" t="s">
        <v>26</v>
      </c>
      <c r="E7" s="15">
        <v>22.9</v>
      </c>
      <c r="F7" s="15">
        <f>IF(Form_Responses1[[#This Row],[dai_thao_duong]]="Không", 0, 1)</f>
        <v>0</v>
      </c>
      <c r="G7" s="2" t="s">
        <v>21</v>
      </c>
      <c r="H7" s="15">
        <f t="shared" si="0"/>
        <v>0</v>
      </c>
      <c r="I7" s="2" t="s">
        <v>21</v>
      </c>
      <c r="J7" s="15">
        <f>IF(Form_Responses1[[#This Row],[hoi_chung_vanh_man]]="Không", 0, 1)</f>
        <v>0</v>
      </c>
      <c r="K7" s="2" t="s">
        <v>21</v>
      </c>
      <c r="L7" s="15">
        <f>IF(Form_Responses1[[#This Row],[ckd]]="Không", 0, 1)</f>
        <v>0</v>
      </c>
      <c r="M7" s="2" t="s">
        <v>21</v>
      </c>
      <c r="N7" s="15">
        <f t="shared" si="1"/>
        <v>1</v>
      </c>
      <c r="O7" s="2" t="s">
        <v>22</v>
      </c>
      <c r="P7" s="15">
        <f>IF(Form_Responses1[[#This Row],[phan_loai_the_lam_sang]]="Suy tim mất bù cấp", 1,0)</f>
        <v>1</v>
      </c>
      <c r="Q7" s="15">
        <f>IF(Form_Responses1[[#This Row],[phan_loai_the_lam_sang]]="Phù phổi cấp", 1, 0)</f>
        <v>0</v>
      </c>
      <c r="R7" s="15">
        <f>IF(Form_Responses1[[#This Row],[phan_loai_the_lam_sang]]="Choáng tim", 1, 0)</f>
        <v>0</v>
      </c>
      <c r="S7" s="2" t="s">
        <v>23</v>
      </c>
      <c r="T7" s="15">
        <v>75</v>
      </c>
      <c r="U7" s="15">
        <v>90</v>
      </c>
      <c r="V7" s="15">
        <v>50</v>
      </c>
      <c r="W7" s="15">
        <f>IF(Form_Responses1[[#This Row],[hcvc]]="Không", 0, 1)</f>
        <v>0</v>
      </c>
      <c r="X7" s="2" t="s">
        <v>21</v>
      </c>
      <c r="Y7" s="15">
        <f>IF(Form_Responses1[[#This Row],[suy_ho_hap]]="Không", 0, 1)</f>
        <v>0</v>
      </c>
      <c r="Z7" s="2" t="s">
        <v>21</v>
      </c>
      <c r="AA7" s="15">
        <f>IF(Form_Responses1[[#This Row],[rung_nhi]]="Không", 0, 1)</f>
        <v>1</v>
      </c>
      <c r="AB7" s="2" t="s">
        <v>22</v>
      </c>
      <c r="AC7" s="15">
        <v>437</v>
      </c>
      <c r="AD7" s="15">
        <v>7.0000000000000007E-2</v>
      </c>
      <c r="AE7" s="15">
        <v>5.88</v>
      </c>
      <c r="AF7" s="15">
        <v>106</v>
      </c>
      <c r="AG7" s="15">
        <v>150</v>
      </c>
      <c r="AH7" s="15">
        <v>135</v>
      </c>
      <c r="AI7" s="15">
        <v>4.5</v>
      </c>
      <c r="AJ7" s="15">
        <v>46</v>
      </c>
      <c r="AK7" s="15">
        <v>1.45</v>
      </c>
      <c r="AL7" s="2" t="s">
        <v>21</v>
      </c>
      <c r="AM7" s="2">
        <v>1507</v>
      </c>
      <c r="AN7" s="6">
        <f>IF(Form_Responses1[[#This Row],[NT_proBNP &gt; 35000]]="Có", 35001, Form_Responses1[[#This Row],[NT_ProBNP]])</f>
        <v>1507</v>
      </c>
      <c r="AO7" s="15">
        <f>IF(Form_Responses1[[#This Row],[NT_proBNP &gt; 35000]]="Có", 1, 0)</f>
        <v>0</v>
      </c>
      <c r="AP7" s="18"/>
      <c r="AQ7" s="15">
        <v>36</v>
      </c>
      <c r="AR7" s="15">
        <v>27</v>
      </c>
      <c r="AS7" s="20"/>
      <c r="AT7" s="27">
        <v>56</v>
      </c>
      <c r="AU7" s="15">
        <v>26</v>
      </c>
      <c r="AV7" s="15">
        <v>46</v>
      </c>
      <c r="AW7" s="15">
        <v>74</v>
      </c>
      <c r="AX7" s="15">
        <v>77</v>
      </c>
      <c r="AY7" s="22">
        <f>IF(Form_Responses1[[#This Row],[ket_cuc]]="Không tử vong", 0, 1)</f>
        <v>0</v>
      </c>
      <c r="AZ7" s="2" t="s">
        <v>24</v>
      </c>
      <c r="BA7" s="32">
        <v>44</v>
      </c>
      <c r="BB7" s="32">
        <v>8.7871929544339936E-2</v>
      </c>
    </row>
    <row r="8" spans="1:54" ht="15.75" customHeight="1" x14ac:dyDescent="0.15">
      <c r="A8" s="1" t="s">
        <v>122</v>
      </c>
      <c r="B8" s="6">
        <v>66</v>
      </c>
      <c r="C8" s="6">
        <f>IF(Form_Responses1[[#This Row],[gioi_tinh]]="Nữ", 0, 1)</f>
        <v>0</v>
      </c>
      <c r="D8" s="1" t="s">
        <v>20</v>
      </c>
      <c r="E8" s="6">
        <v>20</v>
      </c>
      <c r="F8" s="6">
        <f>IF(Form_Responses1[[#This Row],[dai_thao_duong]]="Không", 0, 1)</f>
        <v>0</v>
      </c>
      <c r="G8" s="1" t="s">
        <v>21</v>
      </c>
      <c r="H8" s="6">
        <f t="shared" si="0"/>
        <v>0</v>
      </c>
      <c r="I8" s="1" t="s">
        <v>21</v>
      </c>
      <c r="J8" s="6">
        <f>IF(Form_Responses1[[#This Row],[hoi_chung_vanh_man]]="Không", 0, 1)</f>
        <v>1</v>
      </c>
      <c r="K8" s="1" t="s">
        <v>22</v>
      </c>
      <c r="L8" s="6">
        <f>IF(Form_Responses1[[#This Row],[ckd]]="Không", 0, 1)</f>
        <v>0</v>
      </c>
      <c r="M8" s="1" t="s">
        <v>21</v>
      </c>
      <c r="N8" s="6">
        <f t="shared" si="1"/>
        <v>0</v>
      </c>
      <c r="O8" s="1" t="s">
        <v>21</v>
      </c>
      <c r="P8" s="6">
        <f>IF(Form_Responses1[[#This Row],[phan_loai_the_lam_sang]]="Suy tim mất bù cấp", 1,0)</f>
        <v>1</v>
      </c>
      <c r="Q8" s="6">
        <f>IF(Form_Responses1[[#This Row],[phan_loai_the_lam_sang]]="Phù phổi cấp", 1, 0)</f>
        <v>0</v>
      </c>
      <c r="R8" s="6">
        <f>IF(Form_Responses1[[#This Row],[phan_loai_the_lam_sang]]="Choáng tim", 1, 0)</f>
        <v>0</v>
      </c>
      <c r="S8" s="1" t="s">
        <v>23</v>
      </c>
      <c r="T8" s="6">
        <v>73</v>
      </c>
      <c r="U8" s="6">
        <v>100</v>
      </c>
      <c r="V8" s="6">
        <v>60</v>
      </c>
      <c r="W8" s="6">
        <f>IF(Form_Responses1[[#This Row],[hcvc]]="Không", 0, 1)</f>
        <v>0</v>
      </c>
      <c r="X8" s="1" t="s">
        <v>21</v>
      </c>
      <c r="Y8" s="6">
        <f>IF(Form_Responses1[[#This Row],[suy_ho_hap]]="Không", 0, 1)</f>
        <v>0</v>
      </c>
      <c r="Z8" s="1" t="s">
        <v>21</v>
      </c>
      <c r="AA8" s="6">
        <f>IF(Form_Responses1[[#This Row],[rung_nhi]]="Không", 0, 1)</f>
        <v>0</v>
      </c>
      <c r="AB8" s="1" t="s">
        <v>21</v>
      </c>
      <c r="AC8" s="6">
        <v>447</v>
      </c>
      <c r="AD8" s="6">
        <v>0.12</v>
      </c>
      <c r="AE8" s="6">
        <v>5.42</v>
      </c>
      <c r="AF8" s="6">
        <v>127</v>
      </c>
      <c r="AG8" s="6">
        <v>146</v>
      </c>
      <c r="AH8" s="6">
        <v>124</v>
      </c>
      <c r="AI8" s="6">
        <v>3.2</v>
      </c>
      <c r="AJ8" s="6">
        <v>3.7</v>
      </c>
      <c r="AK8" s="6">
        <v>0.63</v>
      </c>
      <c r="AL8" s="1" t="s">
        <v>21</v>
      </c>
      <c r="AM8" s="1">
        <v>17092.3</v>
      </c>
      <c r="AN8" s="6">
        <f>IF(Form_Responses1[[#This Row],[NT_proBNP &gt; 35000]]="Có", 35001, Form_Responses1[[#This Row],[NT_ProBNP]])</f>
        <v>17092.3</v>
      </c>
      <c r="AO8" s="6">
        <f>IF(Form_Responses1[[#This Row],[NT_proBNP &gt; 35000]]="Có", 1, 0)</f>
        <v>0</v>
      </c>
      <c r="AP8" s="6">
        <v>33</v>
      </c>
      <c r="AQ8" s="6">
        <v>30</v>
      </c>
      <c r="AR8" s="6">
        <v>29</v>
      </c>
      <c r="AS8" s="6">
        <v>114</v>
      </c>
      <c r="AT8" s="6">
        <v>34</v>
      </c>
      <c r="AU8" s="6">
        <v>22</v>
      </c>
      <c r="AV8" s="6">
        <v>40</v>
      </c>
      <c r="AW8" s="6">
        <v>73</v>
      </c>
      <c r="AY8" s="25">
        <f>IF(Form_Responses1[[#This Row],[ket_cuc]]="Không tử vong", 0, 1)</f>
        <v>0</v>
      </c>
      <c r="AZ8" s="1" t="s">
        <v>24</v>
      </c>
      <c r="BA8" s="32">
        <v>40</v>
      </c>
      <c r="BB8" s="32">
        <v>5.0380365209176277E-2</v>
      </c>
    </row>
    <row r="9" spans="1:54" ht="15.75" customHeight="1" x14ac:dyDescent="0.15">
      <c r="A9" s="2" t="s">
        <v>236</v>
      </c>
      <c r="B9" s="15">
        <v>53</v>
      </c>
      <c r="C9" s="15">
        <f>IF(Form_Responses1[[#This Row],[gioi_tinh]]="Nữ", 0, 1)</f>
        <v>1</v>
      </c>
      <c r="D9" s="2" t="s">
        <v>26</v>
      </c>
      <c r="E9" s="15">
        <v>25.7</v>
      </c>
      <c r="F9" s="15">
        <f>IF(Form_Responses1[[#This Row],[dai_thao_duong]]="Không", 0, 1)</f>
        <v>0</v>
      </c>
      <c r="G9" s="2" t="s">
        <v>21</v>
      </c>
      <c r="H9" s="15">
        <f t="shared" si="0"/>
        <v>0</v>
      </c>
      <c r="I9" s="2" t="s">
        <v>21</v>
      </c>
      <c r="J9" s="15">
        <f>IF(Form_Responses1[[#This Row],[hoi_chung_vanh_man]]="Không", 0, 1)</f>
        <v>0</v>
      </c>
      <c r="K9" s="2" t="s">
        <v>21</v>
      </c>
      <c r="L9" s="15">
        <f>IF(Form_Responses1[[#This Row],[ckd]]="Không", 0, 1)</f>
        <v>1</v>
      </c>
      <c r="M9" s="2" t="s">
        <v>22</v>
      </c>
      <c r="N9" s="15">
        <f t="shared" si="1"/>
        <v>0</v>
      </c>
      <c r="O9" s="2" t="s">
        <v>21</v>
      </c>
      <c r="P9" s="15">
        <f>IF(Form_Responses1[[#This Row],[phan_loai_the_lam_sang]]="Suy tim mất bù cấp", 1,0)</f>
        <v>1</v>
      </c>
      <c r="Q9" s="15">
        <f>IF(Form_Responses1[[#This Row],[phan_loai_the_lam_sang]]="Phù phổi cấp", 1, 0)</f>
        <v>0</v>
      </c>
      <c r="R9" s="15">
        <f>IF(Form_Responses1[[#This Row],[phan_loai_the_lam_sang]]="Choáng tim", 1, 0)</f>
        <v>0</v>
      </c>
      <c r="S9" s="2" t="s">
        <v>23</v>
      </c>
      <c r="T9" s="15">
        <v>143</v>
      </c>
      <c r="U9" s="15">
        <v>90</v>
      </c>
      <c r="V9" s="15">
        <v>60</v>
      </c>
      <c r="W9" s="15">
        <f>IF(Form_Responses1[[#This Row],[hcvc]]="Không", 0, 1)</f>
        <v>0</v>
      </c>
      <c r="X9" s="2" t="s">
        <v>21</v>
      </c>
      <c r="Y9" s="15">
        <f>IF(Form_Responses1[[#This Row],[suy_ho_hap]]="Không", 0, 1)</f>
        <v>1</v>
      </c>
      <c r="Z9" s="2" t="s">
        <v>22</v>
      </c>
      <c r="AA9" s="15">
        <f>IF(Form_Responses1[[#This Row],[rung_nhi]]="Không", 0, 1)</f>
        <v>0</v>
      </c>
      <c r="AB9" s="2" t="s">
        <v>21</v>
      </c>
      <c r="AC9" s="15">
        <v>413</v>
      </c>
      <c r="AD9" s="15">
        <v>0.1</v>
      </c>
      <c r="AE9" s="15">
        <v>9.33</v>
      </c>
      <c r="AF9" s="15">
        <v>75</v>
      </c>
      <c r="AG9" s="15">
        <v>152</v>
      </c>
      <c r="AH9" s="15">
        <v>133</v>
      </c>
      <c r="AI9" s="15">
        <v>4.4000000000000004</v>
      </c>
      <c r="AJ9" s="15">
        <v>43</v>
      </c>
      <c r="AK9" s="15">
        <v>6.05</v>
      </c>
      <c r="AL9" s="2" t="s">
        <v>22</v>
      </c>
      <c r="AM9" s="12"/>
      <c r="AN9" s="6">
        <f>IF(Form_Responses1[[#This Row],[NT_proBNP &gt; 35000]]="Có", 35001, Form_Responses1[[#This Row],[NT_ProBNP]])</f>
        <v>35001</v>
      </c>
      <c r="AO9" s="18">
        <f>IF(Form_Responses1[[#This Row],[NT_proBNP &gt; 35000]]="Có", 1, 0)</f>
        <v>1</v>
      </c>
      <c r="AP9" s="15">
        <v>175.6</v>
      </c>
      <c r="AQ9" s="15">
        <v>17</v>
      </c>
      <c r="AR9" s="15">
        <v>10</v>
      </c>
      <c r="AS9" s="15">
        <v>93</v>
      </c>
      <c r="AT9" s="15">
        <v>58</v>
      </c>
      <c r="AU9" s="15">
        <v>31</v>
      </c>
      <c r="AV9" s="15">
        <v>55</v>
      </c>
      <c r="AW9" s="15">
        <v>73</v>
      </c>
      <c r="AX9" s="27">
        <v>81</v>
      </c>
      <c r="AY9" s="29">
        <f>IF(Form_Responses1[[#This Row],[ket_cuc]]="Không tử vong", 0, 1)</f>
        <v>0</v>
      </c>
      <c r="AZ9" s="2" t="s">
        <v>24</v>
      </c>
      <c r="BA9" s="32">
        <v>54</v>
      </c>
      <c r="BB9" s="32">
        <v>0.17354622452206003</v>
      </c>
    </row>
    <row r="10" spans="1:54" ht="15.75" customHeight="1" x14ac:dyDescent="0.15">
      <c r="A10" s="1" t="s">
        <v>56</v>
      </c>
      <c r="B10" s="6">
        <v>68</v>
      </c>
      <c r="C10" s="6">
        <f>IF(Form_Responses1[[#This Row],[gioi_tinh]]="Nữ", 0, 1)</f>
        <v>0</v>
      </c>
      <c r="D10" s="1" t="s">
        <v>20</v>
      </c>
      <c r="E10" s="6">
        <v>26.7</v>
      </c>
      <c r="F10" s="6">
        <f>IF(Form_Responses1[[#This Row],[dai_thao_duong]]="Không", 0, 1)</f>
        <v>1</v>
      </c>
      <c r="G10" s="1" t="s">
        <v>22</v>
      </c>
      <c r="H10" s="6">
        <f t="shared" si="0"/>
        <v>0</v>
      </c>
      <c r="I10" s="1" t="s">
        <v>21</v>
      </c>
      <c r="J10" s="6">
        <f>IF(Form_Responses1[[#This Row],[hoi_chung_vanh_man]]="Không", 0, 1)</f>
        <v>0</v>
      </c>
      <c r="K10" s="1" t="s">
        <v>21</v>
      </c>
      <c r="L10" s="6">
        <f>IF(Form_Responses1[[#This Row],[ckd]]="Không", 0, 1)</f>
        <v>0</v>
      </c>
      <c r="M10" s="1" t="s">
        <v>21</v>
      </c>
      <c r="N10" s="6">
        <f t="shared" si="1"/>
        <v>0</v>
      </c>
      <c r="O10" s="1" t="s">
        <v>21</v>
      </c>
      <c r="P10" s="6">
        <f>IF(Form_Responses1[[#This Row],[phan_loai_the_lam_sang]]="Suy tim mất bù cấp", 1,0)</f>
        <v>1</v>
      </c>
      <c r="Q10" s="6">
        <f>IF(Form_Responses1[[#This Row],[phan_loai_the_lam_sang]]="Phù phổi cấp", 1, 0)</f>
        <v>0</v>
      </c>
      <c r="R10" s="6">
        <f>IF(Form_Responses1[[#This Row],[phan_loai_the_lam_sang]]="Choáng tim", 1, 0)</f>
        <v>0</v>
      </c>
      <c r="S10" s="1" t="s">
        <v>23</v>
      </c>
      <c r="T10" s="6">
        <v>90</v>
      </c>
      <c r="U10" s="6">
        <v>150</v>
      </c>
      <c r="V10" s="6">
        <v>80</v>
      </c>
      <c r="W10" s="6">
        <f>IF(Form_Responses1[[#This Row],[hcvc]]="Không", 0, 1)</f>
        <v>0</v>
      </c>
      <c r="X10" s="1" t="s">
        <v>21</v>
      </c>
      <c r="Y10" s="6">
        <f>IF(Form_Responses1[[#This Row],[suy_ho_hap]]="Không", 0, 1)</f>
        <v>0</v>
      </c>
      <c r="Z10" s="1" t="s">
        <v>21</v>
      </c>
      <c r="AA10" s="6">
        <f>IF(Form_Responses1[[#This Row],[rung_nhi]]="Không", 0, 1)</f>
        <v>1</v>
      </c>
      <c r="AB10" s="1" t="s">
        <v>22</v>
      </c>
      <c r="AC10" s="6">
        <v>348</v>
      </c>
      <c r="AD10" s="6">
        <v>0.08</v>
      </c>
      <c r="AE10" s="6">
        <v>6.9</v>
      </c>
      <c r="AF10" s="6">
        <v>142</v>
      </c>
      <c r="AG10" s="6">
        <v>170</v>
      </c>
      <c r="AH10" s="6">
        <v>122</v>
      </c>
      <c r="AI10" s="6">
        <v>5.3</v>
      </c>
      <c r="AJ10" s="6">
        <v>22.4</v>
      </c>
      <c r="AK10" s="6">
        <v>1.59</v>
      </c>
      <c r="AL10" s="1" t="s">
        <v>21</v>
      </c>
      <c r="AM10" s="1">
        <v>4391.95</v>
      </c>
      <c r="AN10" s="6">
        <f>IF(Form_Responses1[[#This Row],[NT_proBNP &gt; 35000]]="Có", 35001, Form_Responses1[[#This Row],[NT_ProBNP]])</f>
        <v>4391.95</v>
      </c>
      <c r="AO10" s="6">
        <f>IF(Form_Responses1[[#This Row],[NT_proBNP &gt; 35000]]="Có", 1, 0)</f>
        <v>0</v>
      </c>
      <c r="AP10" s="6">
        <v>53</v>
      </c>
      <c r="AQ10" s="6">
        <v>30</v>
      </c>
      <c r="AR10" s="6">
        <v>26</v>
      </c>
      <c r="AS10" s="6">
        <v>228</v>
      </c>
      <c r="AT10" s="6">
        <v>45</v>
      </c>
      <c r="AU10" s="6">
        <v>20</v>
      </c>
      <c r="AV10" s="6">
        <v>32</v>
      </c>
      <c r="AW10" s="6">
        <v>72</v>
      </c>
      <c r="AX10" s="6">
        <v>115</v>
      </c>
      <c r="AY10" s="24">
        <f>IF(Form_Responses1[[#This Row],[ket_cuc]]="Không tử vong", 0, 1)</f>
        <v>0</v>
      </c>
      <c r="AZ10" s="1" t="s">
        <v>24</v>
      </c>
      <c r="BA10" s="32">
        <v>38</v>
      </c>
      <c r="BB10" s="32">
        <v>6.6377130483500649E-2</v>
      </c>
    </row>
    <row r="11" spans="1:54" ht="15.75" customHeight="1" x14ac:dyDescent="0.15">
      <c r="A11" s="2" t="s">
        <v>152</v>
      </c>
      <c r="B11" s="15">
        <v>41</v>
      </c>
      <c r="C11" s="15">
        <f>IF(Form_Responses1[[#This Row],[gioi_tinh]]="Nữ", 0, 1)</f>
        <v>1</v>
      </c>
      <c r="D11" s="2" t="s">
        <v>26</v>
      </c>
      <c r="E11" s="15">
        <v>26.3</v>
      </c>
      <c r="F11" s="15">
        <f>IF(Form_Responses1[[#This Row],[dai_thao_duong]]="Không", 0, 1)</f>
        <v>0</v>
      </c>
      <c r="G11" s="2" t="s">
        <v>21</v>
      </c>
      <c r="H11" s="15">
        <f t="shared" si="0"/>
        <v>1</v>
      </c>
      <c r="I11" s="2" t="s">
        <v>22</v>
      </c>
      <c r="J11" s="15">
        <f>IF(Form_Responses1[[#This Row],[hoi_chung_vanh_man]]="Không", 0, 1)</f>
        <v>0</v>
      </c>
      <c r="K11" s="2" t="s">
        <v>21</v>
      </c>
      <c r="L11" s="15">
        <f>IF(Form_Responses1[[#This Row],[ckd]]="Không", 0, 1)</f>
        <v>0</v>
      </c>
      <c r="M11" s="2" t="s">
        <v>21</v>
      </c>
      <c r="N11" s="15">
        <f t="shared" si="1"/>
        <v>0</v>
      </c>
      <c r="O11" s="2" t="s">
        <v>21</v>
      </c>
      <c r="P11" s="15">
        <f>IF(Form_Responses1[[#This Row],[phan_loai_the_lam_sang]]="Suy tim mất bù cấp", 1,0)</f>
        <v>0</v>
      </c>
      <c r="Q11" s="15">
        <f>IF(Form_Responses1[[#This Row],[phan_loai_the_lam_sang]]="Phù phổi cấp", 1, 0)</f>
        <v>0</v>
      </c>
      <c r="R11" s="15">
        <f>IF(Form_Responses1[[#This Row],[phan_loai_the_lam_sang]]="Choáng tim", 1, 0)</f>
        <v>1</v>
      </c>
      <c r="S11" s="2" t="s">
        <v>28</v>
      </c>
      <c r="T11" s="15">
        <v>120</v>
      </c>
      <c r="U11" s="15">
        <v>70</v>
      </c>
      <c r="V11" s="15">
        <v>40</v>
      </c>
      <c r="W11" s="15">
        <f>IF(Form_Responses1[[#This Row],[hcvc]]="Không", 0, 1)</f>
        <v>0</v>
      </c>
      <c r="X11" s="2" t="s">
        <v>21</v>
      </c>
      <c r="Y11" s="15">
        <f>IF(Form_Responses1[[#This Row],[suy_ho_hap]]="Không", 0, 1)</f>
        <v>1</v>
      </c>
      <c r="Z11" s="2" t="s">
        <v>22</v>
      </c>
      <c r="AA11" s="15">
        <f>IF(Form_Responses1[[#This Row],[rung_nhi]]="Không", 0, 1)</f>
        <v>0</v>
      </c>
      <c r="AB11" s="2" t="s">
        <v>21</v>
      </c>
      <c r="AC11" s="15">
        <v>433</v>
      </c>
      <c r="AD11" s="15">
        <v>0.08</v>
      </c>
      <c r="AE11" s="15">
        <v>10.47</v>
      </c>
      <c r="AF11" s="15">
        <v>146</v>
      </c>
      <c r="AG11" s="15">
        <v>145</v>
      </c>
      <c r="AH11" s="15">
        <v>126</v>
      </c>
      <c r="AI11" s="15">
        <v>5.9</v>
      </c>
      <c r="AJ11" s="15">
        <v>45</v>
      </c>
      <c r="AK11" s="15">
        <v>1.81</v>
      </c>
      <c r="AL11" s="2" t="s">
        <v>21</v>
      </c>
      <c r="AM11" s="2">
        <v>33061.599999999999</v>
      </c>
      <c r="AN11" s="6">
        <f>IF(Form_Responses1[[#This Row],[NT_proBNP &gt; 35000]]="Có", 35001, Form_Responses1[[#This Row],[NT_ProBNP]])</f>
        <v>33061.599999999999</v>
      </c>
      <c r="AO11" s="27">
        <f>IF(Form_Responses1[[#This Row],[NT_proBNP &gt; 35000]]="Có", 1, 0)</f>
        <v>0</v>
      </c>
      <c r="AQ11" s="15">
        <v>121</v>
      </c>
      <c r="AR11" s="15">
        <v>63</v>
      </c>
      <c r="AS11" s="15">
        <v>58</v>
      </c>
      <c r="AT11" s="15">
        <v>64.8</v>
      </c>
      <c r="AU11" s="15">
        <v>46.5</v>
      </c>
      <c r="AV11" s="15">
        <v>68.900000000000006</v>
      </c>
      <c r="AW11" s="15">
        <v>72</v>
      </c>
      <c r="AX11" s="18"/>
      <c r="AY11" s="26">
        <f>IF(Form_Responses1[[#This Row],[ket_cuc]]="Không tử vong", 0, 1)</f>
        <v>1</v>
      </c>
      <c r="AZ11" s="2" t="s">
        <v>29</v>
      </c>
      <c r="BA11" s="32">
        <v>55</v>
      </c>
      <c r="BB11" s="32">
        <v>0.14415502164055477</v>
      </c>
    </row>
    <row r="12" spans="1:54" ht="15.75" customHeight="1" x14ac:dyDescent="0.15">
      <c r="A12" s="1" t="s">
        <v>185</v>
      </c>
      <c r="B12" s="6">
        <v>80</v>
      </c>
      <c r="C12" s="6">
        <f>IF(Form_Responses1[[#This Row],[gioi_tinh]]="Nữ", 0, 1)</f>
        <v>0</v>
      </c>
      <c r="D12" s="1" t="s">
        <v>20</v>
      </c>
      <c r="E12" s="6">
        <v>20</v>
      </c>
      <c r="F12" s="6">
        <f>IF(Form_Responses1[[#This Row],[dai_thao_duong]]="Không", 0, 1)</f>
        <v>0</v>
      </c>
      <c r="G12" s="1" t="s">
        <v>21</v>
      </c>
      <c r="H12" s="6">
        <f t="shared" si="0"/>
        <v>0</v>
      </c>
      <c r="I12" s="1" t="s">
        <v>21</v>
      </c>
      <c r="J12" s="6">
        <f>IF(Form_Responses1[[#This Row],[hoi_chung_vanh_man]]="Không", 0, 1)</f>
        <v>1</v>
      </c>
      <c r="K12" s="1" t="s">
        <v>22</v>
      </c>
      <c r="L12" s="6">
        <f>IF(Form_Responses1[[#This Row],[ckd]]="Không", 0, 1)</f>
        <v>0</v>
      </c>
      <c r="M12" s="1" t="s">
        <v>21</v>
      </c>
      <c r="N12" s="6">
        <f t="shared" si="1"/>
        <v>0</v>
      </c>
      <c r="O12" s="1" t="s">
        <v>21</v>
      </c>
      <c r="P12" s="6">
        <f>IF(Form_Responses1[[#This Row],[phan_loai_the_lam_sang]]="Suy tim mất bù cấp", 1,0)</f>
        <v>1</v>
      </c>
      <c r="Q12" s="6">
        <f>IF(Form_Responses1[[#This Row],[phan_loai_the_lam_sang]]="Phù phổi cấp", 1, 0)</f>
        <v>0</v>
      </c>
      <c r="R12" s="6">
        <f>IF(Form_Responses1[[#This Row],[phan_loai_the_lam_sang]]="Choáng tim", 1, 0)</f>
        <v>0</v>
      </c>
      <c r="S12" s="1" t="s">
        <v>23</v>
      </c>
      <c r="T12" s="6">
        <v>136</v>
      </c>
      <c r="U12" s="6">
        <v>140</v>
      </c>
      <c r="V12" s="6">
        <v>90</v>
      </c>
      <c r="W12" s="6">
        <f>IF(Form_Responses1[[#This Row],[hcvc]]="Không", 0, 1)</f>
        <v>0</v>
      </c>
      <c r="X12" s="1" t="s">
        <v>21</v>
      </c>
      <c r="Y12" s="6">
        <f>IF(Form_Responses1[[#This Row],[suy_ho_hap]]="Không", 0, 1)</f>
        <v>1</v>
      </c>
      <c r="Z12" s="1" t="s">
        <v>22</v>
      </c>
      <c r="AA12" s="6">
        <f>IF(Form_Responses1[[#This Row],[rung_nhi]]="Không", 0, 1)</f>
        <v>1</v>
      </c>
      <c r="AB12" s="1" t="s">
        <v>22</v>
      </c>
      <c r="AC12" s="6">
        <v>362</v>
      </c>
      <c r="AD12" s="6">
        <v>0.1</v>
      </c>
      <c r="AE12" s="6">
        <v>4.12</v>
      </c>
      <c r="AF12" s="6">
        <v>136</v>
      </c>
      <c r="AG12" s="6">
        <v>165</v>
      </c>
      <c r="AH12" s="6">
        <v>129</v>
      </c>
      <c r="AI12" s="6">
        <v>4.2</v>
      </c>
      <c r="AJ12" s="6">
        <v>12.6</v>
      </c>
      <c r="AK12" s="6">
        <v>0.86</v>
      </c>
      <c r="AL12" s="1" t="s">
        <v>21</v>
      </c>
      <c r="AM12" s="1">
        <v>17249</v>
      </c>
      <c r="AN12" s="6">
        <f>IF(Form_Responses1[[#This Row],[NT_proBNP &gt; 35000]]="Có", 35001, Form_Responses1[[#This Row],[NT_ProBNP]])</f>
        <v>17249</v>
      </c>
      <c r="AO12" s="27">
        <f>IF(Form_Responses1[[#This Row],[NT_proBNP &gt; 35000]]="Có", 1, 0)</f>
        <v>0</v>
      </c>
      <c r="AQ12" s="6">
        <v>123</v>
      </c>
      <c r="AR12" s="6">
        <v>103</v>
      </c>
      <c r="AS12" s="27">
        <v>130</v>
      </c>
      <c r="AT12" s="6">
        <v>45.7</v>
      </c>
      <c r="AU12" s="6">
        <v>26.8</v>
      </c>
      <c r="AV12" s="6">
        <v>43.5</v>
      </c>
      <c r="AW12" s="6">
        <v>69</v>
      </c>
      <c r="AX12" s="6">
        <v>45</v>
      </c>
      <c r="AY12" s="24">
        <f>IF(Form_Responses1[[#This Row],[ket_cuc]]="Không tử vong", 0, 1)</f>
        <v>0</v>
      </c>
      <c r="AZ12" s="1" t="s">
        <v>24</v>
      </c>
      <c r="BA12" s="32">
        <v>47</v>
      </c>
      <c r="BB12" s="32">
        <v>0.10955642735131235</v>
      </c>
    </row>
    <row r="13" spans="1:54" ht="15.75" customHeight="1" x14ac:dyDescent="0.15">
      <c r="A13" s="2" t="s">
        <v>170</v>
      </c>
      <c r="B13" s="15">
        <v>75</v>
      </c>
      <c r="C13" s="15">
        <f>IF(Form_Responses1[[#This Row],[gioi_tinh]]="Nữ", 0, 1)</f>
        <v>0</v>
      </c>
      <c r="D13" s="2" t="s">
        <v>20</v>
      </c>
      <c r="E13" s="15">
        <v>20.8</v>
      </c>
      <c r="F13" s="15">
        <f>IF(Form_Responses1[[#This Row],[dai_thao_duong]]="Không", 0, 1)</f>
        <v>0</v>
      </c>
      <c r="G13" s="2" t="s">
        <v>21</v>
      </c>
      <c r="H13" s="15">
        <f t="shared" si="0"/>
        <v>1</v>
      </c>
      <c r="I13" s="2" t="s">
        <v>22</v>
      </c>
      <c r="J13" s="15">
        <f>IF(Form_Responses1[[#This Row],[hoi_chung_vanh_man]]="Không", 0, 1)</f>
        <v>1</v>
      </c>
      <c r="K13" s="2" t="s">
        <v>22</v>
      </c>
      <c r="L13" s="15">
        <f>IF(Form_Responses1[[#This Row],[ckd]]="Không", 0, 1)</f>
        <v>0</v>
      </c>
      <c r="M13" s="2" t="s">
        <v>21</v>
      </c>
      <c r="N13" s="15">
        <f t="shared" si="1"/>
        <v>0</v>
      </c>
      <c r="O13" s="2" t="s">
        <v>21</v>
      </c>
      <c r="P13" s="15">
        <f>IF(Form_Responses1[[#This Row],[phan_loai_the_lam_sang]]="Suy tim mất bù cấp", 1,0)</f>
        <v>1</v>
      </c>
      <c r="Q13" s="15">
        <f>IF(Form_Responses1[[#This Row],[phan_loai_the_lam_sang]]="Phù phổi cấp", 1, 0)</f>
        <v>0</v>
      </c>
      <c r="R13" s="15">
        <f>IF(Form_Responses1[[#This Row],[phan_loai_the_lam_sang]]="Choáng tim", 1, 0)</f>
        <v>0</v>
      </c>
      <c r="S13" s="2" t="s">
        <v>23</v>
      </c>
      <c r="T13" s="15">
        <v>86</v>
      </c>
      <c r="U13" s="15">
        <v>180</v>
      </c>
      <c r="V13" s="15">
        <v>100</v>
      </c>
      <c r="W13" s="15">
        <f>IF(Form_Responses1[[#This Row],[hcvc]]="Không", 0, 1)</f>
        <v>0</v>
      </c>
      <c r="X13" s="2" t="s">
        <v>21</v>
      </c>
      <c r="Y13" s="15">
        <f>IF(Form_Responses1[[#This Row],[suy_ho_hap]]="Không", 0, 1)</f>
        <v>0</v>
      </c>
      <c r="Z13" s="2" t="s">
        <v>21</v>
      </c>
      <c r="AA13" s="15">
        <f>IF(Form_Responses1[[#This Row],[rung_nhi]]="Không", 0, 1)</f>
        <v>1</v>
      </c>
      <c r="AB13" s="2" t="s">
        <v>22</v>
      </c>
      <c r="AC13" s="15">
        <v>388</v>
      </c>
      <c r="AD13" s="15">
        <v>0.11</v>
      </c>
      <c r="AE13" s="15">
        <v>10.95</v>
      </c>
      <c r="AF13" s="15">
        <v>119</v>
      </c>
      <c r="AG13" s="15">
        <v>239</v>
      </c>
      <c r="AH13" s="15">
        <v>140</v>
      </c>
      <c r="AI13" s="15">
        <v>4</v>
      </c>
      <c r="AJ13" s="15">
        <v>6.1</v>
      </c>
      <c r="AK13" s="15">
        <v>0.84</v>
      </c>
      <c r="AL13" s="2" t="s">
        <v>21</v>
      </c>
      <c r="AM13" s="2">
        <v>5317</v>
      </c>
      <c r="AN13" s="6">
        <f>IF(Form_Responses1[[#This Row],[NT_proBNP &gt; 35000]]="Có", 35001, Form_Responses1[[#This Row],[NT_ProBNP]])</f>
        <v>5317</v>
      </c>
      <c r="AO13" s="15">
        <f>IF(Form_Responses1[[#This Row],[NT_proBNP &gt; 35000]]="Có", 1, 0)</f>
        <v>0</v>
      </c>
      <c r="AP13" s="15">
        <v>13.7</v>
      </c>
      <c r="AQ13" s="15">
        <v>68</v>
      </c>
      <c r="AR13" s="15">
        <v>42</v>
      </c>
      <c r="AS13" s="15">
        <v>124</v>
      </c>
      <c r="AT13" s="15">
        <v>35</v>
      </c>
      <c r="AU13" s="15">
        <v>24</v>
      </c>
      <c r="AV13" s="15">
        <v>39</v>
      </c>
      <c r="AW13" s="15">
        <v>67</v>
      </c>
      <c r="AX13" s="15">
        <v>58</v>
      </c>
      <c r="AY13" s="22">
        <f>IF(Form_Responses1[[#This Row],[ket_cuc]]="Không tử vong", 0, 1)</f>
        <v>0</v>
      </c>
      <c r="AZ13" s="2" t="s">
        <v>24</v>
      </c>
      <c r="BA13" s="32">
        <v>27</v>
      </c>
      <c r="BB13" s="32">
        <v>3.8269537967971327E-2</v>
      </c>
    </row>
    <row r="14" spans="1:54" ht="15.75" customHeight="1" x14ac:dyDescent="0.15">
      <c r="A14" s="1" t="s">
        <v>135</v>
      </c>
      <c r="B14" s="6">
        <v>74</v>
      </c>
      <c r="C14" s="6">
        <f>IF(Form_Responses1[[#This Row],[gioi_tinh]]="Nữ", 0, 1)</f>
        <v>0</v>
      </c>
      <c r="D14" s="1" t="s">
        <v>20</v>
      </c>
      <c r="E14" s="6">
        <v>21.5</v>
      </c>
      <c r="F14" s="6">
        <f>IF(Form_Responses1[[#This Row],[dai_thao_duong]]="Không", 0, 1)</f>
        <v>0</v>
      </c>
      <c r="G14" s="1" t="s">
        <v>21</v>
      </c>
      <c r="H14" s="6">
        <f t="shared" si="0"/>
        <v>1</v>
      </c>
      <c r="I14" s="1" t="s">
        <v>22</v>
      </c>
      <c r="J14" s="6">
        <f>IF(Form_Responses1[[#This Row],[hoi_chung_vanh_man]]="Không", 0, 1)</f>
        <v>0</v>
      </c>
      <c r="K14" s="1" t="s">
        <v>21</v>
      </c>
      <c r="L14" s="6">
        <f>IF(Form_Responses1[[#This Row],[ckd]]="Không", 0, 1)</f>
        <v>0</v>
      </c>
      <c r="M14" s="1" t="s">
        <v>21</v>
      </c>
      <c r="N14" s="6">
        <f t="shared" si="1"/>
        <v>0</v>
      </c>
      <c r="O14" s="1" t="s">
        <v>21</v>
      </c>
      <c r="P14" s="6">
        <f>IF(Form_Responses1[[#This Row],[phan_loai_the_lam_sang]]="Suy tim mất bù cấp", 1,0)</f>
        <v>1</v>
      </c>
      <c r="Q14" s="6">
        <f>IF(Form_Responses1[[#This Row],[phan_loai_the_lam_sang]]="Phù phổi cấp", 1, 0)</f>
        <v>0</v>
      </c>
      <c r="R14" s="6">
        <f>IF(Form_Responses1[[#This Row],[phan_loai_the_lam_sang]]="Choáng tim", 1, 0)</f>
        <v>0</v>
      </c>
      <c r="S14" s="1" t="s">
        <v>23</v>
      </c>
      <c r="T14" s="6">
        <v>110</v>
      </c>
      <c r="U14" s="6">
        <v>120</v>
      </c>
      <c r="V14" s="6">
        <v>80</v>
      </c>
      <c r="W14" s="6">
        <f>IF(Form_Responses1[[#This Row],[hcvc]]="Không", 0, 1)</f>
        <v>0</v>
      </c>
      <c r="X14" s="1" t="s">
        <v>21</v>
      </c>
      <c r="Y14" s="6">
        <f>IF(Form_Responses1[[#This Row],[suy_ho_hap]]="Không", 0, 1)</f>
        <v>0</v>
      </c>
      <c r="Z14" s="1" t="s">
        <v>21</v>
      </c>
      <c r="AA14" s="6">
        <f>IF(Form_Responses1[[#This Row],[rung_nhi]]="Không", 0, 1)</f>
        <v>1</v>
      </c>
      <c r="AB14" s="1" t="s">
        <v>22</v>
      </c>
      <c r="AC14" s="6">
        <v>413</v>
      </c>
      <c r="AD14" s="6">
        <v>0.06</v>
      </c>
      <c r="AE14" s="6">
        <v>6.73</v>
      </c>
      <c r="AF14" s="6">
        <v>122</v>
      </c>
      <c r="AG14" s="6">
        <v>155</v>
      </c>
      <c r="AH14" s="6">
        <v>133</v>
      </c>
      <c r="AI14" s="6">
        <v>4.9000000000000004</v>
      </c>
      <c r="AJ14" s="6">
        <v>35</v>
      </c>
      <c r="AK14" s="6">
        <v>2.1</v>
      </c>
      <c r="AL14" s="1" t="s">
        <v>22</v>
      </c>
      <c r="AM14" s="10"/>
      <c r="AN14" s="6">
        <f>IF(Form_Responses1[[#This Row],[NT_proBNP &gt; 35000]]="Có", 35001, Form_Responses1[[#This Row],[NT_ProBNP]])</f>
        <v>35001</v>
      </c>
      <c r="AO14" s="13">
        <f>IF(Form_Responses1[[#This Row],[NT_proBNP &gt; 35000]]="Có", 1, 0)</f>
        <v>1</v>
      </c>
      <c r="AP14" s="6">
        <v>16.68</v>
      </c>
      <c r="AQ14" s="6">
        <v>76</v>
      </c>
      <c r="AR14" s="6">
        <v>121</v>
      </c>
      <c r="AS14" s="27">
        <v>134</v>
      </c>
      <c r="AT14" s="27">
        <v>42</v>
      </c>
      <c r="AU14" s="6">
        <v>33</v>
      </c>
      <c r="AV14" s="6">
        <v>52</v>
      </c>
      <c r="AW14" s="6">
        <v>66</v>
      </c>
      <c r="AX14" s="6">
        <v>51</v>
      </c>
      <c r="AY14" s="24">
        <f>IF(Form_Responses1[[#This Row],[ket_cuc]]="Không tử vong", 0, 1)</f>
        <v>0</v>
      </c>
      <c r="AZ14" s="1" t="s">
        <v>24</v>
      </c>
      <c r="BA14" s="32">
        <v>52</v>
      </c>
      <c r="BB14" s="32">
        <v>0.12545024087800608</v>
      </c>
    </row>
    <row r="15" spans="1:54" ht="15.75" customHeight="1" x14ac:dyDescent="0.15">
      <c r="A15" s="2" t="s">
        <v>98</v>
      </c>
      <c r="B15" s="15">
        <v>77</v>
      </c>
      <c r="C15" s="15">
        <f>IF(Form_Responses1[[#This Row],[gioi_tinh]]="Nữ", 0, 1)</f>
        <v>1</v>
      </c>
      <c r="D15" s="2" t="s">
        <v>26</v>
      </c>
      <c r="E15" s="15">
        <v>23.9</v>
      </c>
      <c r="F15" s="15">
        <f>IF(Form_Responses1[[#This Row],[dai_thao_duong]]="Không", 0, 1)</f>
        <v>0</v>
      </c>
      <c r="G15" s="2" t="s">
        <v>21</v>
      </c>
      <c r="H15" s="15">
        <f t="shared" si="0"/>
        <v>1</v>
      </c>
      <c r="I15" s="2" t="s">
        <v>22</v>
      </c>
      <c r="J15" s="15">
        <f>IF(Form_Responses1[[#This Row],[hoi_chung_vanh_man]]="Không", 0, 1)</f>
        <v>0</v>
      </c>
      <c r="K15" s="2" t="s">
        <v>21</v>
      </c>
      <c r="L15" s="15">
        <f>IF(Form_Responses1[[#This Row],[ckd]]="Không", 0, 1)</f>
        <v>0</v>
      </c>
      <c r="M15" s="2" t="s">
        <v>21</v>
      </c>
      <c r="N15" s="15">
        <f t="shared" si="1"/>
        <v>0</v>
      </c>
      <c r="O15" s="2" t="s">
        <v>21</v>
      </c>
      <c r="P15" s="15">
        <f>IF(Form_Responses1[[#This Row],[phan_loai_the_lam_sang]]="Suy tim mất bù cấp", 1,0)</f>
        <v>1</v>
      </c>
      <c r="Q15" s="15">
        <f>IF(Form_Responses1[[#This Row],[phan_loai_the_lam_sang]]="Phù phổi cấp", 1, 0)</f>
        <v>0</v>
      </c>
      <c r="R15" s="15">
        <f>IF(Form_Responses1[[#This Row],[phan_loai_the_lam_sang]]="Choáng tim", 1, 0)</f>
        <v>0</v>
      </c>
      <c r="S15" s="2" t="s">
        <v>23</v>
      </c>
      <c r="T15" s="15">
        <v>60</v>
      </c>
      <c r="U15" s="15">
        <v>140</v>
      </c>
      <c r="V15" s="15">
        <v>70</v>
      </c>
      <c r="W15" s="15">
        <f>IF(Form_Responses1[[#This Row],[hcvc]]="Không", 0, 1)</f>
        <v>0</v>
      </c>
      <c r="X15" s="2" t="s">
        <v>21</v>
      </c>
      <c r="Y15" s="15">
        <f>IF(Form_Responses1[[#This Row],[suy_ho_hap]]="Không", 0, 1)</f>
        <v>0</v>
      </c>
      <c r="Z15" s="2" t="s">
        <v>21</v>
      </c>
      <c r="AA15" s="27">
        <f>IF(Form_Responses1[[#This Row],[rung_nhi]]="Không", 0, 1)</f>
        <v>0</v>
      </c>
      <c r="AB15" s="28" t="s">
        <v>21</v>
      </c>
      <c r="AC15" s="15">
        <v>436</v>
      </c>
      <c r="AD15" s="15">
        <v>0.08</v>
      </c>
      <c r="AE15" s="15">
        <v>8.1999999999999993</v>
      </c>
      <c r="AF15" s="15">
        <v>115</v>
      </c>
      <c r="AG15" s="15">
        <v>345</v>
      </c>
      <c r="AH15" s="15">
        <v>123</v>
      </c>
      <c r="AI15" s="15">
        <v>4.9000000000000004</v>
      </c>
      <c r="AJ15" s="15">
        <v>56</v>
      </c>
      <c r="AK15" s="15">
        <v>1.35</v>
      </c>
      <c r="AL15" s="2" t="s">
        <v>21</v>
      </c>
      <c r="AM15" s="2">
        <v>5310.5</v>
      </c>
      <c r="AN15" s="6">
        <f>IF(Form_Responses1[[#This Row],[NT_proBNP &gt; 35000]]="Có", 35001, Form_Responses1[[#This Row],[NT_ProBNP]])</f>
        <v>5310.5</v>
      </c>
      <c r="AO15" s="15">
        <f>IF(Form_Responses1[[#This Row],[NT_proBNP &gt; 35000]]="Có", 1, 0)</f>
        <v>0</v>
      </c>
      <c r="AP15" s="15">
        <v>24.5</v>
      </c>
      <c r="AQ15" s="15">
        <v>17</v>
      </c>
      <c r="AR15" s="15">
        <v>28</v>
      </c>
      <c r="AS15" s="15">
        <v>175</v>
      </c>
      <c r="AT15" s="15">
        <v>42.7</v>
      </c>
      <c r="AU15" s="15">
        <v>27.3</v>
      </c>
      <c r="AV15" s="15">
        <v>50</v>
      </c>
      <c r="AW15" s="15">
        <v>65</v>
      </c>
      <c r="AX15" s="15">
        <v>50</v>
      </c>
      <c r="AY15" s="22">
        <f>IF(Form_Responses1[[#This Row],[ket_cuc]]="Không tử vong", 0, 1)</f>
        <v>0</v>
      </c>
      <c r="AZ15" s="2" t="s">
        <v>24</v>
      </c>
      <c r="BA15" s="32">
        <v>44</v>
      </c>
      <c r="BB15" s="32">
        <v>0.13317188988035766</v>
      </c>
    </row>
    <row r="16" spans="1:54" ht="15.75" customHeight="1" x14ac:dyDescent="0.15">
      <c r="A16" s="1" t="s">
        <v>108</v>
      </c>
      <c r="B16" s="6">
        <v>59</v>
      </c>
      <c r="C16" s="6">
        <f>IF(Form_Responses1[[#This Row],[gioi_tinh]]="Nữ", 0, 1)</f>
        <v>1</v>
      </c>
      <c r="D16" s="1" t="s">
        <v>26</v>
      </c>
      <c r="E16" s="6">
        <v>21.9</v>
      </c>
      <c r="F16" s="6">
        <f>IF(Form_Responses1[[#This Row],[dai_thao_duong]]="Không", 0, 1)</f>
        <v>1</v>
      </c>
      <c r="G16" s="1" t="s">
        <v>22</v>
      </c>
      <c r="H16" s="6">
        <f t="shared" si="0"/>
        <v>0</v>
      </c>
      <c r="I16" s="1" t="s">
        <v>21</v>
      </c>
      <c r="J16" s="6">
        <f>IF(Form_Responses1[[#This Row],[hoi_chung_vanh_man]]="Không", 0, 1)</f>
        <v>0</v>
      </c>
      <c r="K16" s="1" t="s">
        <v>21</v>
      </c>
      <c r="L16" s="6">
        <f>IF(Form_Responses1[[#This Row],[ckd]]="Không", 0, 1)</f>
        <v>1</v>
      </c>
      <c r="M16" s="1" t="s">
        <v>22</v>
      </c>
      <c r="N16" s="6">
        <f t="shared" si="1"/>
        <v>0</v>
      </c>
      <c r="O16" s="1" t="s">
        <v>21</v>
      </c>
      <c r="P16" s="6">
        <f>IF(Form_Responses1[[#This Row],[phan_loai_the_lam_sang]]="Suy tim mất bù cấp", 1,0)</f>
        <v>0</v>
      </c>
      <c r="Q16" s="6">
        <f>IF(Form_Responses1[[#This Row],[phan_loai_the_lam_sang]]="Phù phổi cấp", 1, 0)</f>
        <v>1</v>
      </c>
      <c r="R16" s="6">
        <f>IF(Form_Responses1[[#This Row],[phan_loai_the_lam_sang]]="Choáng tim", 1, 0)</f>
        <v>0</v>
      </c>
      <c r="S16" s="1" t="s">
        <v>45</v>
      </c>
      <c r="T16" s="6">
        <v>64</v>
      </c>
      <c r="U16" s="6">
        <v>120</v>
      </c>
      <c r="V16" s="6">
        <v>70</v>
      </c>
      <c r="W16" s="6">
        <f>IF(Form_Responses1[[#This Row],[hcvc]]="Không", 0, 1)</f>
        <v>0</v>
      </c>
      <c r="X16" s="1" t="s">
        <v>21</v>
      </c>
      <c r="Y16" s="6">
        <f>IF(Form_Responses1[[#This Row],[suy_ho_hap]]="Không", 0, 1)</f>
        <v>1</v>
      </c>
      <c r="Z16" s="1" t="s">
        <v>22</v>
      </c>
      <c r="AA16" s="6">
        <f>IF(Form_Responses1[[#This Row],[rung_nhi]]="Không", 0, 1)</f>
        <v>0</v>
      </c>
      <c r="AB16" s="1" t="s">
        <v>21</v>
      </c>
      <c r="AC16" s="6">
        <v>400</v>
      </c>
      <c r="AD16" s="6">
        <v>7.0000000000000007E-2</v>
      </c>
      <c r="AE16" s="6">
        <v>6.8</v>
      </c>
      <c r="AF16" s="6">
        <v>95</v>
      </c>
      <c r="AG16" s="6">
        <v>190</v>
      </c>
      <c r="AH16" s="6">
        <v>134</v>
      </c>
      <c r="AI16" s="6">
        <v>5.2</v>
      </c>
      <c r="AJ16" s="6">
        <v>16.8</v>
      </c>
      <c r="AK16" s="6">
        <v>6.36</v>
      </c>
      <c r="AL16" s="1" t="s">
        <v>21</v>
      </c>
      <c r="AM16" s="1">
        <v>3703</v>
      </c>
      <c r="AN16" s="6">
        <f>IF(Form_Responses1[[#This Row],[NT_proBNP &gt; 35000]]="Có", 35001, Form_Responses1[[#This Row],[NT_ProBNP]])</f>
        <v>3703</v>
      </c>
      <c r="AO16" s="6">
        <f>IF(Form_Responses1[[#This Row],[NT_proBNP &gt; 35000]]="Có", 1, 0)</f>
        <v>0</v>
      </c>
      <c r="AP16" s="6">
        <v>25</v>
      </c>
      <c r="AQ16" s="6">
        <v>28</v>
      </c>
      <c r="AR16" s="6">
        <v>5</v>
      </c>
      <c r="AS16" s="6">
        <v>150</v>
      </c>
      <c r="AT16" s="6">
        <v>44</v>
      </c>
      <c r="AU16" s="13"/>
      <c r="AV16" s="13"/>
      <c r="AW16" s="6">
        <v>65</v>
      </c>
      <c r="AX16" s="6">
        <v>60</v>
      </c>
      <c r="AY16" s="24">
        <f>IF(Form_Responses1[[#This Row],[ket_cuc]]="Không tử vong", 0, 1)</f>
        <v>0</v>
      </c>
      <c r="AZ16" s="1" t="s">
        <v>24</v>
      </c>
      <c r="BA16" s="32">
        <v>33</v>
      </c>
      <c r="BB16" s="32">
        <v>4.0301131930360251E-2</v>
      </c>
    </row>
    <row r="17" spans="1:54" ht="15.75" customHeight="1" x14ac:dyDescent="0.15">
      <c r="A17" s="2" t="s">
        <v>286</v>
      </c>
      <c r="B17" s="15">
        <v>38</v>
      </c>
      <c r="C17" s="15">
        <f>IF(Form_Responses1[[#This Row],[gioi_tinh]]="Nữ", 0, 1)</f>
        <v>1</v>
      </c>
      <c r="D17" s="2" t="s">
        <v>26</v>
      </c>
      <c r="E17" s="15">
        <v>22.5</v>
      </c>
      <c r="F17" s="15">
        <f>IF(Form_Responses1[[#This Row],[dai_thao_duong]]="Không", 0, 1)</f>
        <v>0</v>
      </c>
      <c r="G17" s="2" t="s">
        <v>21</v>
      </c>
      <c r="H17" s="15">
        <f t="shared" si="0"/>
        <v>0</v>
      </c>
      <c r="I17" s="2" t="s">
        <v>21</v>
      </c>
      <c r="J17" s="27">
        <f>IF(Form_Responses1[[#This Row],[hoi_chung_vanh_man]]="Không", 0, 1)</f>
        <v>0</v>
      </c>
      <c r="K17" s="28" t="s">
        <v>21</v>
      </c>
      <c r="L17" s="27">
        <f>IF(Form_Responses1[[#This Row],[ckd]]="Không", 0, 1)</f>
        <v>0</v>
      </c>
      <c r="M17" s="2" t="s">
        <v>21</v>
      </c>
      <c r="N17" s="15">
        <f t="shared" si="1"/>
        <v>0</v>
      </c>
      <c r="O17" s="2" t="s">
        <v>21</v>
      </c>
      <c r="P17" s="15">
        <f>IF(Form_Responses1[[#This Row],[phan_loai_the_lam_sang]]="Suy tim mất bù cấp", 1,0)</f>
        <v>0</v>
      </c>
      <c r="Q17" s="15">
        <f>IF(Form_Responses1[[#This Row],[phan_loai_the_lam_sang]]="Phù phổi cấp", 1, 0)</f>
        <v>1</v>
      </c>
      <c r="R17" s="15">
        <f>IF(Form_Responses1[[#This Row],[phan_loai_the_lam_sang]]="Choáng tim", 1, 0)</f>
        <v>0</v>
      </c>
      <c r="S17" s="2" t="s">
        <v>45</v>
      </c>
      <c r="T17" s="15">
        <v>100</v>
      </c>
      <c r="U17" s="15">
        <v>130</v>
      </c>
      <c r="V17" s="15">
        <v>70</v>
      </c>
      <c r="W17" s="15">
        <f>IF(Form_Responses1[[#This Row],[hcvc]]="Không", 0, 1)</f>
        <v>0</v>
      </c>
      <c r="X17" s="2" t="s">
        <v>21</v>
      </c>
      <c r="Y17" s="15">
        <f>IF(Form_Responses1[[#This Row],[suy_ho_hap]]="Không", 0, 1)</f>
        <v>1</v>
      </c>
      <c r="Z17" s="2" t="s">
        <v>22</v>
      </c>
      <c r="AA17" s="15">
        <f>IF(Form_Responses1[[#This Row],[rung_nhi]]="Không", 0, 1)</f>
        <v>0</v>
      </c>
      <c r="AB17" s="2" t="s">
        <v>21</v>
      </c>
      <c r="AC17" s="15">
        <v>428</v>
      </c>
      <c r="AD17" s="15">
        <v>0.06</v>
      </c>
      <c r="AE17" s="15">
        <v>21.4</v>
      </c>
      <c r="AF17" s="15">
        <v>119</v>
      </c>
      <c r="AG17" s="15">
        <v>310</v>
      </c>
      <c r="AH17" s="15">
        <v>133</v>
      </c>
      <c r="AI17" s="15">
        <v>3.8</v>
      </c>
      <c r="AJ17" s="15">
        <v>24</v>
      </c>
      <c r="AK17" s="15">
        <v>0.71</v>
      </c>
      <c r="AL17" s="2" t="s">
        <v>21</v>
      </c>
      <c r="AM17" s="2">
        <v>2382.3000000000002</v>
      </c>
      <c r="AN17" s="6">
        <f>IF(Form_Responses1[[#This Row],[NT_proBNP &gt; 35000]]="Có", 35001, Form_Responses1[[#This Row],[NT_ProBNP]])</f>
        <v>2382.3000000000002</v>
      </c>
      <c r="AO17" s="15">
        <f>IF(Form_Responses1[[#This Row],[NT_proBNP &gt; 35000]]="Có", 1, 0)</f>
        <v>0</v>
      </c>
      <c r="AP17" s="15">
        <v>37.590000000000003</v>
      </c>
      <c r="AQ17" s="15">
        <v>33</v>
      </c>
      <c r="AR17" s="15">
        <v>91</v>
      </c>
      <c r="AS17" s="15">
        <v>120</v>
      </c>
      <c r="AT17" s="15">
        <v>50</v>
      </c>
      <c r="AU17" s="15">
        <v>39.799999999999997</v>
      </c>
      <c r="AV17" s="15">
        <v>62.2</v>
      </c>
      <c r="AW17" s="15">
        <v>65</v>
      </c>
      <c r="AX17" s="15">
        <v>46</v>
      </c>
      <c r="AY17" s="22">
        <f>IF(Form_Responses1[[#This Row],[ket_cuc]]="Không tử vong", 0, 1)</f>
        <v>0</v>
      </c>
      <c r="AZ17" s="2" t="s">
        <v>24</v>
      </c>
      <c r="BA17" s="32">
        <v>35</v>
      </c>
      <c r="BB17" s="32">
        <v>4.1059767542513156E-2</v>
      </c>
    </row>
    <row r="18" spans="1:54" ht="15.75" customHeight="1" x14ac:dyDescent="0.15">
      <c r="A18" s="1" t="s">
        <v>53</v>
      </c>
      <c r="B18" s="6">
        <v>71</v>
      </c>
      <c r="C18" s="6">
        <f>IF(Form_Responses1[[#This Row],[gioi_tinh]]="Nữ", 0, 1)</f>
        <v>0</v>
      </c>
      <c r="D18" s="1" t="s">
        <v>20</v>
      </c>
      <c r="E18" s="6">
        <v>21.6</v>
      </c>
      <c r="F18" s="6">
        <f>IF(Form_Responses1[[#This Row],[dai_thao_duong]]="Không", 0, 1)</f>
        <v>1</v>
      </c>
      <c r="G18" s="1" t="s">
        <v>22</v>
      </c>
      <c r="H18" s="6">
        <f t="shared" si="0"/>
        <v>1</v>
      </c>
      <c r="I18" s="1" t="s">
        <v>22</v>
      </c>
      <c r="J18" s="6">
        <f>IF(Form_Responses1[[#This Row],[hoi_chung_vanh_man]]="Không", 0, 1)</f>
        <v>0</v>
      </c>
      <c r="K18" s="1" t="s">
        <v>21</v>
      </c>
      <c r="L18" s="6">
        <f>IF(Form_Responses1[[#This Row],[ckd]]="Không", 0, 1)</f>
        <v>0</v>
      </c>
      <c r="M18" s="1" t="s">
        <v>21</v>
      </c>
      <c r="N18" s="6">
        <f t="shared" si="1"/>
        <v>0</v>
      </c>
      <c r="O18" s="1" t="s">
        <v>21</v>
      </c>
      <c r="P18" s="6">
        <f>IF(Form_Responses1[[#This Row],[phan_loai_the_lam_sang]]="Suy tim mất bù cấp", 1,0)</f>
        <v>0</v>
      </c>
      <c r="Q18" s="6">
        <f>IF(Form_Responses1[[#This Row],[phan_loai_the_lam_sang]]="Phù phổi cấp", 1, 0)</f>
        <v>1</v>
      </c>
      <c r="R18" s="6">
        <f>IF(Form_Responses1[[#This Row],[phan_loai_the_lam_sang]]="Choáng tim", 1, 0)</f>
        <v>0</v>
      </c>
      <c r="S18" s="1" t="s">
        <v>45</v>
      </c>
      <c r="T18" s="6">
        <v>94</v>
      </c>
      <c r="U18" s="6">
        <v>140</v>
      </c>
      <c r="V18" s="6">
        <v>80</v>
      </c>
      <c r="W18" s="6">
        <f>IF(Form_Responses1[[#This Row],[hcvc]]="Không", 0, 1)</f>
        <v>0</v>
      </c>
      <c r="X18" s="1" t="s">
        <v>21</v>
      </c>
      <c r="Y18" s="6">
        <f>IF(Form_Responses1[[#This Row],[suy_ho_hap]]="Không", 0, 1)</f>
        <v>1</v>
      </c>
      <c r="Z18" s="1" t="s">
        <v>22</v>
      </c>
      <c r="AA18" s="6">
        <f>IF(Form_Responses1[[#This Row],[rung_nhi]]="Không", 0, 1)</f>
        <v>0</v>
      </c>
      <c r="AB18" s="1" t="s">
        <v>21</v>
      </c>
      <c r="AC18" s="6">
        <v>612</v>
      </c>
      <c r="AD18" s="6">
        <v>0.13</v>
      </c>
      <c r="AE18" s="6">
        <v>14.34</v>
      </c>
      <c r="AF18" s="6">
        <v>98</v>
      </c>
      <c r="AG18" s="6">
        <v>274</v>
      </c>
      <c r="AH18" s="6">
        <v>139</v>
      </c>
      <c r="AI18" s="6">
        <v>4.2</v>
      </c>
      <c r="AJ18" s="6">
        <v>43</v>
      </c>
      <c r="AK18" s="6">
        <v>2.21</v>
      </c>
      <c r="AL18" s="1" t="s">
        <v>21</v>
      </c>
      <c r="AM18" s="1">
        <v>22082.15</v>
      </c>
      <c r="AN18" s="6">
        <f>IF(Form_Responses1[[#This Row],[NT_proBNP &gt; 35000]]="Có", 35001, Form_Responses1[[#This Row],[NT_ProBNP]])</f>
        <v>22082.15</v>
      </c>
      <c r="AO18" s="6">
        <f>IF(Form_Responses1[[#This Row],[NT_proBNP &gt; 35000]]="Có", 1, 0)</f>
        <v>0</v>
      </c>
      <c r="AP18" s="6">
        <v>329.39</v>
      </c>
      <c r="AQ18" s="6">
        <v>44</v>
      </c>
      <c r="AR18" s="6">
        <v>38</v>
      </c>
      <c r="AS18" s="6">
        <v>390</v>
      </c>
      <c r="AT18" s="6">
        <v>40.5</v>
      </c>
      <c r="AU18" s="6">
        <v>23.3</v>
      </c>
      <c r="AV18" s="6">
        <v>37.4</v>
      </c>
      <c r="AW18" s="6">
        <v>65</v>
      </c>
      <c r="AX18" s="13"/>
      <c r="AY18" s="23">
        <f>IF(Form_Responses1[[#This Row],[ket_cuc]]="Không tử vong", 0, 1)</f>
        <v>0</v>
      </c>
      <c r="AZ18" s="1" t="s">
        <v>24</v>
      </c>
      <c r="BA18" s="32">
        <v>43</v>
      </c>
      <c r="BB18" s="32">
        <v>0.1122262501542827</v>
      </c>
    </row>
    <row r="19" spans="1:54" ht="15.75" customHeight="1" x14ac:dyDescent="0.15">
      <c r="A19" s="2" t="s">
        <v>200</v>
      </c>
      <c r="B19" s="15">
        <v>78</v>
      </c>
      <c r="C19" s="15">
        <f>IF(Form_Responses1[[#This Row],[gioi_tinh]]="Nữ", 0, 1)</f>
        <v>1</v>
      </c>
      <c r="D19" s="2" t="s">
        <v>26</v>
      </c>
      <c r="E19" s="15">
        <v>21.1</v>
      </c>
      <c r="F19" s="15">
        <f>IF(Form_Responses1[[#This Row],[dai_thao_duong]]="Không", 0, 1)</f>
        <v>1</v>
      </c>
      <c r="G19" s="2" t="s">
        <v>22</v>
      </c>
      <c r="H19" s="15">
        <f t="shared" si="0"/>
        <v>1</v>
      </c>
      <c r="I19" s="2" t="s">
        <v>22</v>
      </c>
      <c r="J19" s="15">
        <f>IF(Form_Responses1[[#This Row],[hoi_chung_vanh_man]]="Không", 0, 1)</f>
        <v>0</v>
      </c>
      <c r="K19" s="2" t="s">
        <v>21</v>
      </c>
      <c r="L19" s="15">
        <f>IF(Form_Responses1[[#This Row],[ckd]]="Không", 0, 1)</f>
        <v>0</v>
      </c>
      <c r="M19" s="2" t="s">
        <v>21</v>
      </c>
      <c r="N19" s="15">
        <f t="shared" si="1"/>
        <v>0</v>
      </c>
      <c r="O19" s="2" t="s">
        <v>21</v>
      </c>
      <c r="P19" s="15">
        <f>IF(Form_Responses1[[#This Row],[phan_loai_the_lam_sang]]="Suy tim mất bù cấp", 1,0)</f>
        <v>1</v>
      </c>
      <c r="Q19" s="15">
        <f>IF(Form_Responses1[[#This Row],[phan_loai_the_lam_sang]]="Phù phổi cấp", 1, 0)</f>
        <v>0</v>
      </c>
      <c r="R19" s="15">
        <f>IF(Form_Responses1[[#This Row],[phan_loai_the_lam_sang]]="Choáng tim", 1, 0)</f>
        <v>0</v>
      </c>
      <c r="S19" s="2" t="s">
        <v>23</v>
      </c>
      <c r="T19" s="15">
        <v>110</v>
      </c>
      <c r="U19" s="15">
        <v>180</v>
      </c>
      <c r="V19" s="15">
        <v>100</v>
      </c>
      <c r="W19" s="15">
        <f>IF(Form_Responses1[[#This Row],[hcvc]]="Không", 0, 1)</f>
        <v>0</v>
      </c>
      <c r="X19" s="2" t="s">
        <v>21</v>
      </c>
      <c r="Y19" s="15">
        <f>IF(Form_Responses1[[#This Row],[suy_ho_hap]]="Không", 0, 1)</f>
        <v>1</v>
      </c>
      <c r="Z19" s="2" t="s">
        <v>22</v>
      </c>
      <c r="AA19" s="15">
        <f>IF(Form_Responses1[[#This Row],[rung_nhi]]="Không", 0, 1)</f>
        <v>1</v>
      </c>
      <c r="AB19" s="2" t="s">
        <v>22</v>
      </c>
      <c r="AC19" s="15">
        <v>361</v>
      </c>
      <c r="AD19" s="15">
        <v>0.09</v>
      </c>
      <c r="AE19" s="15">
        <v>8.6</v>
      </c>
      <c r="AF19" s="15">
        <v>101</v>
      </c>
      <c r="AG19" s="15">
        <v>360</v>
      </c>
      <c r="AH19" s="15">
        <v>130</v>
      </c>
      <c r="AI19" s="15">
        <v>4.4000000000000004</v>
      </c>
      <c r="AJ19" s="15">
        <v>12.1</v>
      </c>
      <c r="AK19" s="15">
        <v>1.17</v>
      </c>
      <c r="AL19" s="2" t="s">
        <v>21</v>
      </c>
      <c r="AM19" s="2">
        <v>13646.2</v>
      </c>
      <c r="AN19" s="6">
        <f>IF(Form_Responses1[[#This Row],[NT_proBNP &gt; 35000]]="Có", 35001, Form_Responses1[[#This Row],[NT_ProBNP]])</f>
        <v>13646.2</v>
      </c>
      <c r="AO19" s="15">
        <f>IF(Form_Responses1[[#This Row],[NT_proBNP &gt; 35000]]="Có", 1, 0)</f>
        <v>0</v>
      </c>
      <c r="AP19" s="15">
        <v>1943.9</v>
      </c>
      <c r="AQ19" s="15">
        <v>31</v>
      </c>
      <c r="AR19" s="15">
        <v>20</v>
      </c>
      <c r="AS19" s="15">
        <v>366</v>
      </c>
      <c r="AT19" s="15">
        <v>46</v>
      </c>
      <c r="AU19" s="15">
        <v>29.3</v>
      </c>
      <c r="AV19" s="15">
        <v>49.4</v>
      </c>
      <c r="AW19" s="15">
        <v>65</v>
      </c>
      <c r="AX19" s="15">
        <v>62</v>
      </c>
      <c r="AY19" s="22">
        <f>IF(Form_Responses1[[#This Row],[ket_cuc]]="Không tử vong", 0, 1)</f>
        <v>0</v>
      </c>
      <c r="AZ19" s="2" t="s">
        <v>24</v>
      </c>
      <c r="BA19" s="32">
        <v>38</v>
      </c>
      <c r="BB19" s="32">
        <v>6.3205062940585477E-2</v>
      </c>
    </row>
    <row r="20" spans="1:54" ht="15.75" customHeight="1" x14ac:dyDescent="0.15">
      <c r="A20" s="1" t="s">
        <v>148</v>
      </c>
      <c r="B20" s="6">
        <v>60</v>
      </c>
      <c r="C20" s="6">
        <f>IF(Form_Responses1[[#This Row],[gioi_tinh]]="Nữ", 0, 1)</f>
        <v>1</v>
      </c>
      <c r="D20" s="1" t="s">
        <v>26</v>
      </c>
      <c r="E20" s="6">
        <v>26.1</v>
      </c>
      <c r="F20" s="6">
        <f>IF(Form_Responses1[[#This Row],[dai_thao_duong]]="Không", 0, 1)</f>
        <v>1</v>
      </c>
      <c r="G20" s="1" t="s">
        <v>22</v>
      </c>
      <c r="H20" s="6">
        <f t="shared" si="0"/>
        <v>1</v>
      </c>
      <c r="I20" s="1" t="s">
        <v>22</v>
      </c>
      <c r="J20" s="6">
        <f>IF(Form_Responses1[[#This Row],[hoi_chung_vanh_man]]="Không", 0, 1)</f>
        <v>0</v>
      </c>
      <c r="K20" s="1" t="s">
        <v>21</v>
      </c>
      <c r="L20" s="6">
        <f>IF(Form_Responses1[[#This Row],[ckd]]="Không", 0, 1)</f>
        <v>1</v>
      </c>
      <c r="M20" s="1" t="s">
        <v>22</v>
      </c>
      <c r="N20" s="6">
        <f t="shared" si="1"/>
        <v>0</v>
      </c>
      <c r="O20" s="1" t="s">
        <v>21</v>
      </c>
      <c r="P20" s="6">
        <f>IF(Form_Responses1[[#This Row],[phan_loai_the_lam_sang]]="Suy tim mất bù cấp", 1,0)</f>
        <v>1</v>
      </c>
      <c r="Q20" s="6">
        <f>IF(Form_Responses1[[#This Row],[phan_loai_the_lam_sang]]="Phù phổi cấp", 1, 0)</f>
        <v>0</v>
      </c>
      <c r="R20" s="6">
        <f>IF(Form_Responses1[[#This Row],[phan_loai_the_lam_sang]]="Choáng tim", 1, 0)</f>
        <v>0</v>
      </c>
      <c r="S20" s="1" t="s">
        <v>23</v>
      </c>
      <c r="T20" s="6">
        <v>88</v>
      </c>
      <c r="U20" s="6">
        <v>150</v>
      </c>
      <c r="V20" s="6">
        <v>70</v>
      </c>
      <c r="W20" s="6">
        <f>IF(Form_Responses1[[#This Row],[hcvc]]="Không", 0, 1)</f>
        <v>0</v>
      </c>
      <c r="X20" s="1" t="s">
        <v>21</v>
      </c>
      <c r="Y20" s="6">
        <f>IF(Form_Responses1[[#This Row],[suy_ho_hap]]="Không", 0, 1)</f>
        <v>0</v>
      </c>
      <c r="Z20" s="1" t="s">
        <v>21</v>
      </c>
      <c r="AA20" s="6">
        <f>IF(Form_Responses1[[#This Row],[rung_nhi]]="Không", 0, 1)</f>
        <v>0</v>
      </c>
      <c r="AB20" s="1" t="s">
        <v>21</v>
      </c>
      <c r="AC20" s="6">
        <v>437</v>
      </c>
      <c r="AD20" s="6">
        <v>0.08</v>
      </c>
      <c r="AE20" s="6">
        <v>10.210000000000001</v>
      </c>
      <c r="AF20" s="6">
        <v>87</v>
      </c>
      <c r="AG20" s="6">
        <v>394</v>
      </c>
      <c r="AH20" s="6">
        <v>133</v>
      </c>
      <c r="AI20" s="6">
        <v>3.8</v>
      </c>
      <c r="AJ20" s="6">
        <v>24.3</v>
      </c>
      <c r="AK20" s="6">
        <v>3.4</v>
      </c>
      <c r="AL20" s="1" t="s">
        <v>21</v>
      </c>
      <c r="AM20" s="1">
        <v>2267.8000000000002</v>
      </c>
      <c r="AN20" s="6">
        <f>IF(Form_Responses1[[#This Row],[NT_proBNP &gt; 35000]]="Có", 35001, Form_Responses1[[#This Row],[NT_ProBNP]])</f>
        <v>2267.8000000000002</v>
      </c>
      <c r="AO20" s="6">
        <f>IF(Form_Responses1[[#This Row],[NT_proBNP &gt; 35000]]="Có", 1, 0)</f>
        <v>0</v>
      </c>
      <c r="AP20" s="6">
        <v>6.01</v>
      </c>
      <c r="AQ20" s="6">
        <v>30</v>
      </c>
      <c r="AR20" s="6">
        <v>22</v>
      </c>
      <c r="AS20" s="6">
        <v>138</v>
      </c>
      <c r="AT20" s="6">
        <v>46</v>
      </c>
      <c r="AU20" s="6">
        <v>24</v>
      </c>
      <c r="AV20" s="6">
        <v>48</v>
      </c>
      <c r="AW20" s="6">
        <v>64</v>
      </c>
      <c r="AX20" s="27">
        <v>30</v>
      </c>
      <c r="AY20" s="29">
        <f>IF(Form_Responses1[[#This Row],[ket_cuc]]="Không tử vong", 0, 1)</f>
        <v>0</v>
      </c>
      <c r="AZ20" s="1" t="s">
        <v>24</v>
      </c>
      <c r="BA20" s="32">
        <v>36</v>
      </c>
      <c r="BB20" s="32">
        <v>6.4885791459815406E-2</v>
      </c>
    </row>
    <row r="21" spans="1:54" ht="15.75" customHeight="1" x14ac:dyDescent="0.15">
      <c r="A21" s="2" t="s">
        <v>245</v>
      </c>
      <c r="B21" s="15">
        <v>61</v>
      </c>
      <c r="C21" s="15">
        <f>IF(Form_Responses1[[#This Row],[gioi_tinh]]="Nữ", 0, 1)</f>
        <v>0</v>
      </c>
      <c r="D21" s="2" t="s">
        <v>20</v>
      </c>
      <c r="E21" s="15">
        <v>16</v>
      </c>
      <c r="F21" s="15">
        <f>IF(Form_Responses1[[#This Row],[dai_thao_duong]]="Không", 0, 1)</f>
        <v>1</v>
      </c>
      <c r="G21" s="2" t="s">
        <v>22</v>
      </c>
      <c r="H21" s="15">
        <f t="shared" si="0"/>
        <v>1</v>
      </c>
      <c r="I21" s="2" t="s">
        <v>22</v>
      </c>
      <c r="J21" s="15">
        <f>IF(Form_Responses1[[#This Row],[hoi_chung_vanh_man]]="Không", 0, 1)</f>
        <v>0</v>
      </c>
      <c r="K21" s="2" t="s">
        <v>21</v>
      </c>
      <c r="L21" s="15">
        <f>IF(Form_Responses1[[#This Row],[ckd]]="Không", 0, 1)</f>
        <v>0</v>
      </c>
      <c r="M21" s="2" t="s">
        <v>21</v>
      </c>
      <c r="N21" s="15">
        <f t="shared" si="1"/>
        <v>0</v>
      </c>
      <c r="O21" s="2" t="s">
        <v>21</v>
      </c>
      <c r="P21" s="15">
        <f>IF(Form_Responses1[[#This Row],[phan_loai_the_lam_sang]]="Suy tim mất bù cấp", 1,0)</f>
        <v>1</v>
      </c>
      <c r="Q21" s="15">
        <f>IF(Form_Responses1[[#This Row],[phan_loai_the_lam_sang]]="Phù phổi cấp", 1, 0)</f>
        <v>0</v>
      </c>
      <c r="R21" s="15">
        <f>IF(Form_Responses1[[#This Row],[phan_loai_the_lam_sang]]="Choáng tim", 1, 0)</f>
        <v>0</v>
      </c>
      <c r="S21" s="2" t="s">
        <v>23</v>
      </c>
      <c r="T21" s="15">
        <v>76</v>
      </c>
      <c r="U21" s="15">
        <v>100</v>
      </c>
      <c r="V21" s="15">
        <v>60</v>
      </c>
      <c r="W21" s="15">
        <f>IF(Form_Responses1[[#This Row],[hcvc]]="Không", 0, 1)</f>
        <v>1</v>
      </c>
      <c r="X21" s="2" t="s">
        <v>22</v>
      </c>
      <c r="Y21" s="15">
        <f>IF(Form_Responses1[[#This Row],[suy_ho_hap]]="Không", 0, 1)</f>
        <v>1</v>
      </c>
      <c r="Z21" s="2" t="s">
        <v>22</v>
      </c>
      <c r="AA21" s="15">
        <f>IF(Form_Responses1[[#This Row],[rung_nhi]]="Không", 0, 1)</f>
        <v>0</v>
      </c>
      <c r="AB21" s="2" t="s">
        <v>21</v>
      </c>
      <c r="AC21" s="15">
        <v>469</v>
      </c>
      <c r="AD21" s="15">
        <v>0.06</v>
      </c>
      <c r="AE21" s="15">
        <v>10.7</v>
      </c>
      <c r="AF21" s="15">
        <v>129</v>
      </c>
      <c r="AG21" s="15">
        <v>168</v>
      </c>
      <c r="AH21" s="15">
        <v>135</v>
      </c>
      <c r="AI21" s="15">
        <v>4.3</v>
      </c>
      <c r="AJ21" s="15">
        <v>12</v>
      </c>
      <c r="AK21" s="15">
        <v>0.65</v>
      </c>
      <c r="AL21" s="2" t="s">
        <v>21</v>
      </c>
      <c r="AM21" s="2">
        <v>15665.75</v>
      </c>
      <c r="AN21" s="6">
        <f>IF(Form_Responses1[[#This Row],[NT_proBNP &gt; 35000]]="Có", 35001, Form_Responses1[[#This Row],[NT_ProBNP]])</f>
        <v>15665.75</v>
      </c>
      <c r="AO21" s="15">
        <f>IF(Form_Responses1[[#This Row],[NT_proBNP &gt; 35000]]="Có", 1, 0)</f>
        <v>0</v>
      </c>
      <c r="AP21" s="15">
        <v>49114</v>
      </c>
      <c r="AQ21" s="15">
        <v>3551</v>
      </c>
      <c r="AR21" s="15">
        <v>37</v>
      </c>
      <c r="AS21" s="15">
        <v>197</v>
      </c>
      <c r="AT21" s="15">
        <v>41</v>
      </c>
      <c r="AU21" s="15">
        <v>27</v>
      </c>
      <c r="AV21" s="15">
        <v>41</v>
      </c>
      <c r="AW21" s="15">
        <v>63</v>
      </c>
      <c r="AX21" s="15">
        <v>100</v>
      </c>
      <c r="AY21" s="22">
        <f>IF(Form_Responses1[[#This Row],[ket_cuc]]="Không tử vong", 0, 1)</f>
        <v>0</v>
      </c>
      <c r="AZ21" s="2" t="s">
        <v>24</v>
      </c>
      <c r="BA21" s="32">
        <v>40</v>
      </c>
      <c r="BB21" s="32">
        <v>5.3900907398064871E-2</v>
      </c>
    </row>
    <row r="22" spans="1:54" ht="15.75" customHeight="1" x14ac:dyDescent="0.15">
      <c r="A22" s="1" t="s">
        <v>110</v>
      </c>
      <c r="B22" s="6">
        <v>33</v>
      </c>
      <c r="C22" s="6">
        <f>IF(Form_Responses1[[#This Row],[gioi_tinh]]="Nữ", 0, 1)</f>
        <v>1</v>
      </c>
      <c r="D22" s="1" t="s">
        <v>26</v>
      </c>
      <c r="E22" s="6">
        <v>20</v>
      </c>
      <c r="F22" s="6">
        <f>IF(Form_Responses1[[#This Row],[dai_thao_duong]]="Không", 0, 1)</f>
        <v>0</v>
      </c>
      <c r="G22" s="1" t="s">
        <v>21</v>
      </c>
      <c r="H22" s="6">
        <f t="shared" si="0"/>
        <v>1</v>
      </c>
      <c r="I22" s="1" t="s">
        <v>22</v>
      </c>
      <c r="J22" s="6">
        <f>IF(Form_Responses1[[#This Row],[hoi_chung_vanh_man]]="Không", 0, 1)</f>
        <v>0</v>
      </c>
      <c r="K22" s="1" t="s">
        <v>21</v>
      </c>
      <c r="L22" s="6">
        <f>IF(Form_Responses1[[#This Row],[ckd]]="Không", 0, 1)</f>
        <v>1</v>
      </c>
      <c r="M22" s="1" t="s">
        <v>22</v>
      </c>
      <c r="N22" s="6">
        <f t="shared" si="1"/>
        <v>0</v>
      </c>
      <c r="O22" s="1" t="s">
        <v>21</v>
      </c>
      <c r="P22" s="6">
        <f>IF(Form_Responses1[[#This Row],[phan_loai_the_lam_sang]]="Suy tim mất bù cấp", 1,0)</f>
        <v>0</v>
      </c>
      <c r="Q22" s="6">
        <f>IF(Form_Responses1[[#This Row],[phan_loai_the_lam_sang]]="Phù phổi cấp", 1, 0)</f>
        <v>1</v>
      </c>
      <c r="R22" s="6">
        <f>IF(Form_Responses1[[#This Row],[phan_loai_the_lam_sang]]="Choáng tim", 1, 0)</f>
        <v>0</v>
      </c>
      <c r="S22" s="1" t="s">
        <v>45</v>
      </c>
      <c r="T22" s="6">
        <v>91</v>
      </c>
      <c r="U22" s="6">
        <v>160</v>
      </c>
      <c r="V22" s="6">
        <v>100</v>
      </c>
      <c r="W22" s="6">
        <f>IF(Form_Responses1[[#This Row],[hcvc]]="Không", 0, 1)</f>
        <v>0</v>
      </c>
      <c r="X22" s="1" t="s">
        <v>21</v>
      </c>
      <c r="Y22" s="6">
        <f>IF(Form_Responses1[[#This Row],[suy_ho_hap]]="Không", 0, 1)</f>
        <v>1</v>
      </c>
      <c r="Z22" s="1" t="s">
        <v>22</v>
      </c>
      <c r="AA22" s="6">
        <f>IF(Form_Responses1[[#This Row],[rung_nhi]]="Không", 0, 1)</f>
        <v>0</v>
      </c>
      <c r="AB22" s="1" t="s">
        <v>21</v>
      </c>
      <c r="AC22" s="6">
        <v>450</v>
      </c>
      <c r="AD22" s="6">
        <v>0.09</v>
      </c>
      <c r="AE22" s="6">
        <v>10.77</v>
      </c>
      <c r="AF22" s="6">
        <v>72</v>
      </c>
      <c r="AG22" s="6">
        <v>259</v>
      </c>
      <c r="AH22" s="6">
        <v>136</v>
      </c>
      <c r="AI22" s="6">
        <v>3.9</v>
      </c>
      <c r="AJ22" s="6">
        <v>20</v>
      </c>
      <c r="AK22" s="6">
        <v>5.17</v>
      </c>
      <c r="AL22" s="1" t="s">
        <v>22</v>
      </c>
      <c r="AN22" s="6">
        <f>IF(Form_Responses1[[#This Row],[NT_proBNP &gt; 35000]]="Có", 35001, Form_Responses1[[#This Row],[NT_ProBNP]])</f>
        <v>35001</v>
      </c>
      <c r="AO22" s="5">
        <f>IF(Form_Responses1[[#This Row],[NT_proBNP &gt; 35000]]="Có", 1, 0)</f>
        <v>1</v>
      </c>
      <c r="AP22" s="6">
        <v>916.7</v>
      </c>
      <c r="AQ22" s="6">
        <v>30</v>
      </c>
      <c r="AR22" s="6">
        <v>20</v>
      </c>
      <c r="AS22" s="6">
        <v>86</v>
      </c>
      <c r="AT22" s="27">
        <v>28</v>
      </c>
      <c r="AU22" s="6">
        <v>34</v>
      </c>
      <c r="AV22" s="6">
        <v>52</v>
      </c>
      <c r="AW22" s="6">
        <v>62</v>
      </c>
      <c r="AX22" s="27">
        <v>39</v>
      </c>
      <c r="AY22" s="29">
        <f>IF(Form_Responses1[[#This Row],[ket_cuc]]="Không tử vong", 0, 1)</f>
        <v>0</v>
      </c>
      <c r="AZ22" s="1" t="s">
        <v>24</v>
      </c>
      <c r="BA22" s="32">
        <v>27</v>
      </c>
      <c r="BB22" s="32">
        <v>1.6732965173147367E-2</v>
      </c>
    </row>
    <row r="23" spans="1:54" ht="15.75" customHeight="1" x14ac:dyDescent="0.15">
      <c r="A23" s="2" t="s">
        <v>119</v>
      </c>
      <c r="B23" s="15">
        <v>74</v>
      </c>
      <c r="C23" s="15">
        <f>IF(Form_Responses1[[#This Row],[gioi_tinh]]="Nữ", 0, 1)</f>
        <v>1</v>
      </c>
      <c r="D23" s="2" t="s">
        <v>26</v>
      </c>
      <c r="E23" s="15">
        <v>19.5</v>
      </c>
      <c r="F23" s="15">
        <f>IF(Form_Responses1[[#This Row],[dai_thao_duong]]="Không", 0, 1)</f>
        <v>0</v>
      </c>
      <c r="G23" s="2" t="s">
        <v>21</v>
      </c>
      <c r="H23" s="15">
        <f t="shared" si="0"/>
        <v>1</v>
      </c>
      <c r="I23" s="2" t="s">
        <v>22</v>
      </c>
      <c r="J23" s="15">
        <f>IF(Form_Responses1[[#This Row],[hoi_chung_vanh_man]]="Không", 0, 1)</f>
        <v>1</v>
      </c>
      <c r="K23" s="2" t="s">
        <v>22</v>
      </c>
      <c r="L23" s="15">
        <f>IF(Form_Responses1[[#This Row],[ckd]]="Không", 0, 1)</f>
        <v>0</v>
      </c>
      <c r="M23" s="2" t="s">
        <v>21</v>
      </c>
      <c r="N23" s="15">
        <f t="shared" si="1"/>
        <v>0</v>
      </c>
      <c r="O23" s="2" t="s">
        <v>21</v>
      </c>
      <c r="P23" s="15">
        <f>IF(Form_Responses1[[#This Row],[phan_loai_the_lam_sang]]="Suy tim mất bù cấp", 1,0)</f>
        <v>0</v>
      </c>
      <c r="Q23" s="15">
        <f>IF(Form_Responses1[[#This Row],[phan_loai_the_lam_sang]]="Phù phổi cấp", 1, 0)</f>
        <v>0</v>
      </c>
      <c r="R23" s="15">
        <f>IF(Form_Responses1[[#This Row],[phan_loai_the_lam_sang]]="Choáng tim", 1, 0)</f>
        <v>1</v>
      </c>
      <c r="S23" s="2" t="s">
        <v>28</v>
      </c>
      <c r="T23" s="15">
        <v>100</v>
      </c>
      <c r="U23" s="15">
        <v>60</v>
      </c>
      <c r="V23" s="15">
        <v>30</v>
      </c>
      <c r="W23" s="15">
        <f>IF(Form_Responses1[[#This Row],[hcvc]]="Không", 0, 1)</f>
        <v>0</v>
      </c>
      <c r="X23" s="2" t="s">
        <v>21</v>
      </c>
      <c r="Y23" s="27">
        <f>IF(Form_Responses1[[#This Row],[suy_ho_hap]]="Không", 0, 1)</f>
        <v>1</v>
      </c>
      <c r="Z23" s="2" t="s">
        <v>22</v>
      </c>
      <c r="AA23" s="27">
        <f>IF(Form_Responses1[[#This Row],[rung_nhi]]="Không", 0, 1)</f>
        <v>0</v>
      </c>
      <c r="AB23" s="28" t="s">
        <v>21</v>
      </c>
      <c r="AC23" s="15">
        <v>413</v>
      </c>
      <c r="AD23" s="15">
        <v>7.0000000000000007E-2</v>
      </c>
      <c r="AE23" s="15">
        <v>14.3</v>
      </c>
      <c r="AF23" s="15">
        <v>77</v>
      </c>
      <c r="AG23" s="15">
        <v>324</v>
      </c>
      <c r="AH23" s="15">
        <v>130</v>
      </c>
      <c r="AI23" s="15">
        <v>4.8</v>
      </c>
      <c r="AJ23" s="15">
        <v>50</v>
      </c>
      <c r="AK23" s="15">
        <v>1.48</v>
      </c>
      <c r="AL23" s="2" t="s">
        <v>22</v>
      </c>
      <c r="AM23" s="12"/>
      <c r="AN23" s="6">
        <f>IF(Form_Responses1[[#This Row],[NT_proBNP &gt; 35000]]="Có", 35001, Form_Responses1[[#This Row],[NT_ProBNP]])</f>
        <v>35001</v>
      </c>
      <c r="AO23" s="18">
        <f>IF(Form_Responses1[[#This Row],[NT_proBNP &gt; 35000]]="Có", 1, 0)</f>
        <v>1</v>
      </c>
      <c r="AP23" s="15">
        <v>38.1</v>
      </c>
      <c r="AQ23" s="15">
        <v>20</v>
      </c>
      <c r="AR23" s="15">
        <v>17</v>
      </c>
      <c r="AS23" s="15">
        <v>132</v>
      </c>
      <c r="AT23" s="15">
        <v>40.6</v>
      </c>
      <c r="AU23" s="15">
        <v>41</v>
      </c>
      <c r="AV23" s="15">
        <v>62.1</v>
      </c>
      <c r="AW23" s="15">
        <v>62</v>
      </c>
      <c r="AX23" s="15">
        <v>90</v>
      </c>
      <c r="AY23" s="22">
        <f>IF(Form_Responses1[[#This Row],[ket_cuc]]="Không tử vong", 0, 1)</f>
        <v>0</v>
      </c>
      <c r="AZ23" s="2" t="s">
        <v>24</v>
      </c>
      <c r="BA23" s="32">
        <v>65</v>
      </c>
      <c r="BB23" s="32">
        <v>0.31113894670431835</v>
      </c>
    </row>
    <row r="24" spans="1:54" ht="15.75" customHeight="1" x14ac:dyDescent="0.15">
      <c r="A24" s="1" t="s">
        <v>104</v>
      </c>
      <c r="B24" s="6">
        <v>54</v>
      </c>
      <c r="C24" s="6">
        <f>IF(Form_Responses1[[#This Row],[gioi_tinh]]="Nữ", 0, 1)</f>
        <v>1</v>
      </c>
      <c r="D24" s="1" t="s">
        <v>26</v>
      </c>
      <c r="E24" s="6">
        <v>23.4</v>
      </c>
      <c r="F24" s="6">
        <f>IF(Form_Responses1[[#This Row],[dai_thao_duong]]="Không", 0, 1)</f>
        <v>0</v>
      </c>
      <c r="G24" s="1" t="s">
        <v>21</v>
      </c>
      <c r="H24" s="6">
        <f t="shared" si="0"/>
        <v>0</v>
      </c>
      <c r="I24" s="1" t="s">
        <v>21</v>
      </c>
      <c r="J24" s="6">
        <f>IF(Form_Responses1[[#This Row],[hoi_chung_vanh_man]]="Không", 0, 1)</f>
        <v>0</v>
      </c>
      <c r="K24" s="1" t="s">
        <v>21</v>
      </c>
      <c r="L24" s="6">
        <f>IF(Form_Responses1[[#This Row],[ckd]]="Không", 0, 1)</f>
        <v>0</v>
      </c>
      <c r="M24" s="1" t="s">
        <v>21</v>
      </c>
      <c r="N24" s="6">
        <f t="shared" si="1"/>
        <v>0</v>
      </c>
      <c r="O24" s="1" t="s">
        <v>21</v>
      </c>
      <c r="P24" s="6">
        <f>IF(Form_Responses1[[#This Row],[phan_loai_the_lam_sang]]="Suy tim mất bù cấp", 1,0)</f>
        <v>0</v>
      </c>
      <c r="Q24" s="6">
        <f>IF(Form_Responses1[[#This Row],[phan_loai_the_lam_sang]]="Phù phổi cấp", 1, 0)</f>
        <v>1</v>
      </c>
      <c r="R24" s="6">
        <f>IF(Form_Responses1[[#This Row],[phan_loai_the_lam_sang]]="Choáng tim", 1, 0)</f>
        <v>0</v>
      </c>
      <c r="S24" s="1" t="s">
        <v>45</v>
      </c>
      <c r="T24" s="6">
        <v>108</v>
      </c>
      <c r="U24" s="6">
        <v>170</v>
      </c>
      <c r="V24" s="6">
        <v>80</v>
      </c>
      <c r="W24" s="6">
        <f>IF(Form_Responses1[[#This Row],[hcvc]]="Không", 0, 1)</f>
        <v>0</v>
      </c>
      <c r="X24" s="1" t="s">
        <v>21</v>
      </c>
      <c r="Y24" s="6">
        <f>IF(Form_Responses1[[#This Row],[suy_ho_hap]]="Không", 0, 1)</f>
        <v>1</v>
      </c>
      <c r="Z24" s="1" t="s">
        <v>22</v>
      </c>
      <c r="AA24" s="6">
        <f>IF(Form_Responses1[[#This Row],[rung_nhi]]="Không", 0, 1)</f>
        <v>0</v>
      </c>
      <c r="AB24" s="1" t="s">
        <v>21</v>
      </c>
      <c r="AC24" s="6">
        <v>408</v>
      </c>
      <c r="AD24" s="6">
        <v>0.08</v>
      </c>
      <c r="AE24" s="6">
        <v>10.8</v>
      </c>
      <c r="AF24" s="6">
        <v>143</v>
      </c>
      <c r="AG24" s="6">
        <v>240</v>
      </c>
      <c r="AH24" s="6">
        <v>137</v>
      </c>
      <c r="AI24" s="6">
        <v>4.0999999999999996</v>
      </c>
      <c r="AJ24" s="6">
        <v>26</v>
      </c>
      <c r="AK24" s="6">
        <v>1.23</v>
      </c>
      <c r="AL24" s="1" t="s">
        <v>22</v>
      </c>
      <c r="AM24" s="10"/>
      <c r="AN24" s="6">
        <f>IF(Form_Responses1[[#This Row],[NT_proBNP &gt; 35000]]="Có", 35001, Form_Responses1[[#This Row],[NT_ProBNP]])</f>
        <v>35001</v>
      </c>
      <c r="AO24" s="13">
        <f>IF(Form_Responses1[[#This Row],[NT_proBNP &gt; 35000]]="Có", 1, 0)</f>
        <v>1</v>
      </c>
      <c r="AP24" s="6">
        <v>71</v>
      </c>
      <c r="AQ24" s="6">
        <v>85</v>
      </c>
      <c r="AR24" s="6">
        <v>121</v>
      </c>
      <c r="AS24" s="6">
        <v>138</v>
      </c>
      <c r="AT24" s="6">
        <v>40.5</v>
      </c>
      <c r="AU24" s="6">
        <v>43.7</v>
      </c>
      <c r="AV24" s="6">
        <v>65.8</v>
      </c>
      <c r="AW24" s="6">
        <v>61</v>
      </c>
      <c r="AX24" s="27">
        <v>61</v>
      </c>
      <c r="AY24" s="29">
        <f>IF(Form_Responses1[[#This Row],[ket_cuc]]="Không tử vong", 0, 1)</f>
        <v>0</v>
      </c>
      <c r="AZ24" s="1" t="s">
        <v>24</v>
      </c>
      <c r="BA24" s="32">
        <v>33</v>
      </c>
      <c r="BB24" s="32">
        <v>6.0950851091437226E-2</v>
      </c>
    </row>
    <row r="25" spans="1:54" ht="15.75" customHeight="1" x14ac:dyDescent="0.15">
      <c r="A25" s="2" t="s">
        <v>61</v>
      </c>
      <c r="B25" s="15">
        <v>78</v>
      </c>
      <c r="C25" s="15">
        <f>IF(Form_Responses1[[#This Row],[gioi_tinh]]="Nữ", 0, 1)</f>
        <v>0</v>
      </c>
      <c r="D25" s="2" t="s">
        <v>20</v>
      </c>
      <c r="E25" s="15">
        <v>20</v>
      </c>
      <c r="F25" s="15">
        <f>IF(Form_Responses1[[#This Row],[dai_thao_duong]]="Không", 0, 1)</f>
        <v>0</v>
      </c>
      <c r="G25" s="2" t="s">
        <v>21</v>
      </c>
      <c r="H25" s="15">
        <f t="shared" si="0"/>
        <v>0</v>
      </c>
      <c r="I25" s="2" t="s">
        <v>21</v>
      </c>
      <c r="J25" s="15">
        <f>IF(Form_Responses1[[#This Row],[hoi_chung_vanh_man]]="Không", 0, 1)</f>
        <v>0</v>
      </c>
      <c r="K25" s="2" t="s">
        <v>21</v>
      </c>
      <c r="L25" s="15">
        <f>IF(Form_Responses1[[#This Row],[ckd]]="Không", 0, 1)</f>
        <v>0</v>
      </c>
      <c r="M25" s="2" t="s">
        <v>21</v>
      </c>
      <c r="N25" s="15">
        <f t="shared" si="1"/>
        <v>0</v>
      </c>
      <c r="O25" s="2" t="s">
        <v>21</v>
      </c>
      <c r="P25" s="15">
        <f>IF(Form_Responses1[[#This Row],[phan_loai_the_lam_sang]]="Suy tim mất bù cấp", 1,0)</f>
        <v>1</v>
      </c>
      <c r="Q25" s="15">
        <f>IF(Form_Responses1[[#This Row],[phan_loai_the_lam_sang]]="Phù phổi cấp", 1, 0)</f>
        <v>0</v>
      </c>
      <c r="R25" s="15">
        <f>IF(Form_Responses1[[#This Row],[phan_loai_the_lam_sang]]="Choáng tim", 1, 0)</f>
        <v>0</v>
      </c>
      <c r="S25" s="2" t="s">
        <v>23</v>
      </c>
      <c r="T25" s="15">
        <v>74</v>
      </c>
      <c r="U25" s="15">
        <v>130</v>
      </c>
      <c r="V25" s="15">
        <v>80</v>
      </c>
      <c r="W25" s="15">
        <f>IF(Form_Responses1[[#This Row],[hcvc]]="Không", 0, 1)</f>
        <v>0</v>
      </c>
      <c r="X25" s="2" t="s">
        <v>21</v>
      </c>
      <c r="Y25" s="15">
        <f>IF(Form_Responses1[[#This Row],[suy_ho_hap]]="Không", 0, 1)</f>
        <v>1</v>
      </c>
      <c r="Z25" s="2" t="s">
        <v>22</v>
      </c>
      <c r="AA25" s="15">
        <f>IF(Form_Responses1[[#This Row],[rung_nhi]]="Không", 0, 1)</f>
        <v>1</v>
      </c>
      <c r="AB25" s="2" t="s">
        <v>22</v>
      </c>
      <c r="AC25" s="15">
        <v>454</v>
      </c>
      <c r="AD25" s="15">
        <v>7.0000000000000007E-2</v>
      </c>
      <c r="AE25" s="15">
        <v>2.2000000000000002</v>
      </c>
      <c r="AF25" s="15">
        <v>98</v>
      </c>
      <c r="AG25" s="15">
        <v>106</v>
      </c>
      <c r="AH25" s="15">
        <v>136</v>
      </c>
      <c r="AI25" s="15">
        <v>4.0999999999999996</v>
      </c>
      <c r="AJ25" s="15">
        <v>23</v>
      </c>
      <c r="AK25" s="15">
        <v>0.66</v>
      </c>
      <c r="AL25" s="2" t="s">
        <v>21</v>
      </c>
      <c r="AM25" s="2">
        <v>1860.65</v>
      </c>
      <c r="AN25" s="6">
        <f>IF(Form_Responses1[[#This Row],[NT_proBNP &gt; 35000]]="Có", 35001, Form_Responses1[[#This Row],[NT_ProBNP]])</f>
        <v>1860.65</v>
      </c>
      <c r="AO25" s="15">
        <f>IF(Form_Responses1[[#This Row],[NT_proBNP &gt; 35000]]="Có", 1, 0)</f>
        <v>0</v>
      </c>
      <c r="AP25" s="18"/>
      <c r="AQ25" s="15">
        <v>31</v>
      </c>
      <c r="AR25" s="15">
        <v>9</v>
      </c>
      <c r="AS25" s="15">
        <v>82</v>
      </c>
      <c r="AT25" s="15">
        <v>64</v>
      </c>
      <c r="AU25" s="15">
        <v>43.4</v>
      </c>
      <c r="AV25" s="15">
        <v>65.2</v>
      </c>
      <c r="AW25" s="15">
        <v>61</v>
      </c>
      <c r="AX25" s="27">
        <v>68</v>
      </c>
      <c r="AY25" s="29">
        <f>IF(Form_Responses1[[#This Row],[ket_cuc]]="Không tử vong", 0, 1)</f>
        <v>0</v>
      </c>
      <c r="AZ25" s="2" t="s">
        <v>24</v>
      </c>
      <c r="BA25" s="32">
        <v>39</v>
      </c>
      <c r="BB25" s="32">
        <v>7.2252009110600757E-2</v>
      </c>
    </row>
    <row r="26" spans="1:54" ht="15.75" customHeight="1" x14ac:dyDescent="0.15">
      <c r="A26" s="1" t="s">
        <v>261</v>
      </c>
      <c r="B26" s="6">
        <v>78</v>
      </c>
      <c r="C26" s="6">
        <f>IF(Form_Responses1[[#This Row],[gioi_tinh]]="Nữ", 0, 1)</f>
        <v>1</v>
      </c>
      <c r="D26" s="1" t="s">
        <v>26</v>
      </c>
      <c r="E26" s="6">
        <v>26</v>
      </c>
      <c r="F26" s="6">
        <f>IF(Form_Responses1[[#This Row],[dai_thao_duong]]="Không", 0, 1)</f>
        <v>0</v>
      </c>
      <c r="G26" s="1" t="s">
        <v>21</v>
      </c>
      <c r="H26" s="6">
        <f t="shared" si="0"/>
        <v>1</v>
      </c>
      <c r="I26" s="1" t="s">
        <v>22</v>
      </c>
      <c r="J26" s="6">
        <f>IF(Form_Responses1[[#This Row],[hoi_chung_vanh_man]]="Không", 0, 1)</f>
        <v>0</v>
      </c>
      <c r="K26" s="1" t="s">
        <v>21</v>
      </c>
      <c r="L26" s="6">
        <f>IF(Form_Responses1[[#This Row],[ckd]]="Không", 0, 1)</f>
        <v>0</v>
      </c>
      <c r="M26" s="1" t="s">
        <v>21</v>
      </c>
      <c r="N26" s="6">
        <f t="shared" si="1"/>
        <v>1</v>
      </c>
      <c r="O26" s="1" t="s">
        <v>22</v>
      </c>
      <c r="P26" s="6">
        <f>IF(Form_Responses1[[#This Row],[phan_loai_the_lam_sang]]="Suy tim mất bù cấp", 1,0)</f>
        <v>1</v>
      </c>
      <c r="Q26" s="6">
        <f>IF(Form_Responses1[[#This Row],[phan_loai_the_lam_sang]]="Phù phổi cấp", 1, 0)</f>
        <v>0</v>
      </c>
      <c r="R26" s="6">
        <f>IF(Form_Responses1[[#This Row],[phan_loai_the_lam_sang]]="Choáng tim", 1, 0)</f>
        <v>0</v>
      </c>
      <c r="S26" s="1" t="s">
        <v>23</v>
      </c>
      <c r="T26" s="6">
        <v>140</v>
      </c>
      <c r="U26" s="6">
        <v>120</v>
      </c>
      <c r="V26" s="6">
        <v>80</v>
      </c>
      <c r="W26" s="6">
        <f>IF(Form_Responses1[[#This Row],[hcvc]]="Không", 0, 1)</f>
        <v>0</v>
      </c>
      <c r="X26" s="1" t="s">
        <v>21</v>
      </c>
      <c r="Y26" s="6">
        <f>IF(Form_Responses1[[#This Row],[suy_ho_hap]]="Không", 0, 1)</f>
        <v>0</v>
      </c>
      <c r="Z26" s="1" t="s">
        <v>21</v>
      </c>
      <c r="AA26" s="6">
        <f>IF(Form_Responses1[[#This Row],[rung_nhi]]="Không", 0, 1)</f>
        <v>1</v>
      </c>
      <c r="AB26" s="1" t="s">
        <v>22</v>
      </c>
      <c r="AC26" s="6">
        <v>378</v>
      </c>
      <c r="AD26" s="6">
        <v>0.06</v>
      </c>
      <c r="AE26" s="6">
        <v>8.4600000000000009</v>
      </c>
      <c r="AF26" s="6">
        <v>120</v>
      </c>
      <c r="AG26" s="6">
        <v>202</v>
      </c>
      <c r="AH26" s="6">
        <v>134</v>
      </c>
      <c r="AI26" s="6">
        <v>3.3</v>
      </c>
      <c r="AJ26" s="6">
        <v>38</v>
      </c>
      <c r="AK26" s="6">
        <v>1.6</v>
      </c>
      <c r="AL26" s="1" t="s">
        <v>21</v>
      </c>
      <c r="AM26" s="1">
        <v>2364.59</v>
      </c>
      <c r="AN26" s="6">
        <f>IF(Form_Responses1[[#This Row],[NT_proBNP &gt; 35000]]="Có", 35001, Form_Responses1[[#This Row],[NT_ProBNP]])</f>
        <v>2364.59</v>
      </c>
      <c r="AO26" s="6">
        <f>IF(Form_Responses1[[#This Row],[NT_proBNP &gt; 35000]]="Có", 1, 0)</f>
        <v>0</v>
      </c>
      <c r="AP26" s="6">
        <v>7.2</v>
      </c>
      <c r="AQ26" s="6">
        <v>58</v>
      </c>
      <c r="AR26" s="6">
        <v>26</v>
      </c>
      <c r="AS26" s="6">
        <v>153</v>
      </c>
      <c r="AT26" s="6">
        <v>31</v>
      </c>
      <c r="AU26" s="6">
        <v>28</v>
      </c>
      <c r="AV26" s="6">
        <v>41</v>
      </c>
      <c r="AW26" s="6">
        <v>60</v>
      </c>
      <c r="AX26" s="13"/>
      <c r="AY26" s="23">
        <f>IF(Form_Responses1[[#This Row],[ket_cuc]]="Không tử vong", 0, 1)</f>
        <v>0</v>
      </c>
      <c r="AZ26" s="1" t="s">
        <v>24</v>
      </c>
      <c r="BA26" s="32">
        <v>53</v>
      </c>
      <c r="BB26" s="32">
        <v>0.20261984643113046</v>
      </c>
    </row>
    <row r="27" spans="1:54" ht="15.75" customHeight="1" x14ac:dyDescent="0.15">
      <c r="A27" s="2" t="s">
        <v>192</v>
      </c>
      <c r="B27" s="15">
        <v>72</v>
      </c>
      <c r="C27" s="15">
        <f>IF(Form_Responses1[[#This Row],[gioi_tinh]]="Nữ", 0, 1)</f>
        <v>1</v>
      </c>
      <c r="D27" s="2" t="s">
        <v>26</v>
      </c>
      <c r="E27" s="15">
        <v>16.100000000000001</v>
      </c>
      <c r="F27" s="15">
        <f>IF(Form_Responses1[[#This Row],[dai_thao_duong]]="Không", 0, 1)</f>
        <v>0</v>
      </c>
      <c r="G27" s="2" t="s">
        <v>21</v>
      </c>
      <c r="H27" s="15">
        <f t="shared" si="0"/>
        <v>0</v>
      </c>
      <c r="I27" s="2" t="s">
        <v>21</v>
      </c>
      <c r="J27" s="15">
        <f>IF(Form_Responses1[[#This Row],[hoi_chung_vanh_man]]="Không", 0, 1)</f>
        <v>0</v>
      </c>
      <c r="K27" s="2" t="s">
        <v>21</v>
      </c>
      <c r="L27" s="15">
        <f>IF(Form_Responses1[[#This Row],[ckd]]="Không", 0, 1)</f>
        <v>0</v>
      </c>
      <c r="M27" s="2" t="s">
        <v>21</v>
      </c>
      <c r="N27" s="15">
        <f t="shared" si="1"/>
        <v>0</v>
      </c>
      <c r="O27" s="2" t="s">
        <v>21</v>
      </c>
      <c r="P27" s="15">
        <f>IF(Form_Responses1[[#This Row],[phan_loai_the_lam_sang]]="Suy tim mất bù cấp", 1,0)</f>
        <v>1</v>
      </c>
      <c r="Q27" s="15">
        <f>IF(Form_Responses1[[#This Row],[phan_loai_the_lam_sang]]="Phù phổi cấp", 1, 0)</f>
        <v>0</v>
      </c>
      <c r="R27" s="15">
        <f>IF(Form_Responses1[[#This Row],[phan_loai_the_lam_sang]]="Choáng tim", 1, 0)</f>
        <v>0</v>
      </c>
      <c r="S27" s="2" t="s">
        <v>23</v>
      </c>
      <c r="T27" s="15">
        <v>95</v>
      </c>
      <c r="U27" s="15">
        <v>100</v>
      </c>
      <c r="V27" s="15">
        <v>60</v>
      </c>
      <c r="W27" s="15">
        <f>IF(Form_Responses1[[#This Row],[hcvc]]="Không", 0, 1)</f>
        <v>0</v>
      </c>
      <c r="X27" s="2" t="s">
        <v>21</v>
      </c>
      <c r="Y27" s="15">
        <f>IF(Form_Responses1[[#This Row],[suy_ho_hap]]="Không", 0, 1)</f>
        <v>1</v>
      </c>
      <c r="Z27" s="2" t="s">
        <v>22</v>
      </c>
      <c r="AA27" s="15">
        <f>IF(Form_Responses1[[#This Row],[rung_nhi]]="Không", 0, 1)</f>
        <v>1</v>
      </c>
      <c r="AB27" s="2" t="s">
        <v>22</v>
      </c>
      <c r="AC27" s="15">
        <v>404</v>
      </c>
      <c r="AD27" s="15">
        <v>0.1</v>
      </c>
      <c r="AE27" s="15">
        <v>7.59</v>
      </c>
      <c r="AF27" s="15">
        <v>82</v>
      </c>
      <c r="AG27" s="15">
        <v>131</v>
      </c>
      <c r="AH27" s="15">
        <v>139</v>
      </c>
      <c r="AI27" s="15">
        <v>3.1</v>
      </c>
      <c r="AJ27" s="15">
        <v>40.700000000000003</v>
      </c>
      <c r="AK27" s="15">
        <v>1.99</v>
      </c>
      <c r="AL27" s="2" t="s">
        <v>21</v>
      </c>
      <c r="AM27" s="2">
        <v>11797</v>
      </c>
      <c r="AN27" s="6">
        <f>IF(Form_Responses1[[#This Row],[NT_proBNP &gt; 35000]]="Có", 35001, Form_Responses1[[#This Row],[NT_ProBNP]])</f>
        <v>11797</v>
      </c>
      <c r="AO27" s="15">
        <f>IF(Form_Responses1[[#This Row],[NT_proBNP &gt; 35000]]="Có", 1, 0)</f>
        <v>0</v>
      </c>
      <c r="AP27" s="15">
        <v>38.799999999999997</v>
      </c>
      <c r="AQ27" s="15">
        <v>29</v>
      </c>
      <c r="AR27" s="15">
        <v>25</v>
      </c>
      <c r="AS27" s="20"/>
      <c r="AT27" s="15">
        <v>81</v>
      </c>
      <c r="AU27" s="15">
        <v>49</v>
      </c>
      <c r="AV27" s="15">
        <v>74</v>
      </c>
      <c r="AW27" s="15">
        <v>60</v>
      </c>
      <c r="AX27" s="27">
        <v>74</v>
      </c>
      <c r="AY27" s="29">
        <f>IF(Form_Responses1[[#This Row],[ket_cuc]]="Không tử vong", 0, 1)</f>
        <v>0</v>
      </c>
      <c r="AZ27" s="2" t="s">
        <v>24</v>
      </c>
      <c r="BA27" s="32">
        <v>52</v>
      </c>
      <c r="BB27" s="32">
        <v>0.15563649067086749</v>
      </c>
    </row>
    <row r="28" spans="1:54" ht="15.75" customHeight="1" x14ac:dyDescent="0.15">
      <c r="A28" s="1" t="s">
        <v>87</v>
      </c>
      <c r="B28" s="6">
        <v>65</v>
      </c>
      <c r="C28" s="6">
        <f>IF(Form_Responses1[[#This Row],[gioi_tinh]]="Nữ", 0, 1)</f>
        <v>1</v>
      </c>
      <c r="D28" s="1" t="s">
        <v>26</v>
      </c>
      <c r="E28" s="6">
        <v>19.7</v>
      </c>
      <c r="F28" s="6">
        <f>IF(Form_Responses1[[#This Row],[dai_thao_duong]]="Không", 0, 1)</f>
        <v>0</v>
      </c>
      <c r="G28" s="1" t="s">
        <v>21</v>
      </c>
      <c r="H28" s="6">
        <f t="shared" si="0"/>
        <v>1</v>
      </c>
      <c r="I28" s="1" t="s">
        <v>22</v>
      </c>
      <c r="J28" s="6">
        <f>IF(Form_Responses1[[#This Row],[hoi_chung_vanh_man]]="Không", 0, 1)</f>
        <v>0</v>
      </c>
      <c r="K28" s="1" t="s">
        <v>21</v>
      </c>
      <c r="L28" s="6">
        <f>IF(Form_Responses1[[#This Row],[ckd]]="Không", 0, 1)</f>
        <v>0</v>
      </c>
      <c r="M28" s="1" t="s">
        <v>21</v>
      </c>
      <c r="N28" s="6">
        <f t="shared" si="1"/>
        <v>0</v>
      </c>
      <c r="O28" s="1" t="s">
        <v>21</v>
      </c>
      <c r="P28" s="6">
        <f>IF(Form_Responses1[[#This Row],[phan_loai_the_lam_sang]]="Suy tim mất bù cấp", 1,0)</f>
        <v>1</v>
      </c>
      <c r="Q28" s="6">
        <f>IF(Form_Responses1[[#This Row],[phan_loai_the_lam_sang]]="Phù phổi cấp", 1, 0)</f>
        <v>0</v>
      </c>
      <c r="R28" s="6">
        <f>IF(Form_Responses1[[#This Row],[phan_loai_the_lam_sang]]="Choáng tim", 1, 0)</f>
        <v>0</v>
      </c>
      <c r="S28" s="1" t="s">
        <v>23</v>
      </c>
      <c r="T28" s="6">
        <v>104</v>
      </c>
      <c r="U28" s="6">
        <v>140</v>
      </c>
      <c r="V28" s="6">
        <v>70</v>
      </c>
      <c r="W28" s="6">
        <f>IF(Form_Responses1[[#This Row],[hcvc]]="Không", 0, 1)</f>
        <v>0</v>
      </c>
      <c r="X28" s="1" t="s">
        <v>21</v>
      </c>
      <c r="Y28" s="6">
        <f>IF(Form_Responses1[[#This Row],[suy_ho_hap]]="Không", 0, 1)</f>
        <v>0</v>
      </c>
      <c r="Z28" s="1" t="s">
        <v>21</v>
      </c>
      <c r="AA28" s="6">
        <f>IF(Form_Responses1[[#This Row],[rung_nhi]]="Không", 0, 1)</f>
        <v>0</v>
      </c>
      <c r="AB28" s="1" t="s">
        <v>21</v>
      </c>
      <c r="AC28" s="6">
        <v>534</v>
      </c>
      <c r="AD28" s="6">
        <v>0.06</v>
      </c>
      <c r="AE28" s="6">
        <v>5.04</v>
      </c>
      <c r="AF28" s="6">
        <v>110</v>
      </c>
      <c r="AG28" s="6">
        <v>187</v>
      </c>
      <c r="AH28" s="6">
        <v>137</v>
      </c>
      <c r="AI28" s="6">
        <v>3.2</v>
      </c>
      <c r="AJ28" s="6">
        <v>20</v>
      </c>
      <c r="AK28" s="6">
        <v>0.84</v>
      </c>
      <c r="AL28" s="1" t="s">
        <v>21</v>
      </c>
      <c r="AM28" s="1">
        <v>6137.4</v>
      </c>
      <c r="AN28" s="6">
        <f>IF(Form_Responses1[[#This Row],[NT_proBNP &gt; 35000]]="Có", 35001, Form_Responses1[[#This Row],[NT_ProBNP]])</f>
        <v>6137.4</v>
      </c>
      <c r="AO28" s="6">
        <f>IF(Form_Responses1[[#This Row],[NT_proBNP &gt; 35000]]="Có", 1, 0)</f>
        <v>0</v>
      </c>
      <c r="AP28" s="6">
        <v>46.8</v>
      </c>
      <c r="AQ28" s="6">
        <v>25</v>
      </c>
      <c r="AR28" s="6">
        <v>10</v>
      </c>
      <c r="AS28" s="6">
        <v>110</v>
      </c>
      <c r="AT28" s="6">
        <v>44</v>
      </c>
      <c r="AU28" s="6">
        <v>37</v>
      </c>
      <c r="AV28" s="6">
        <v>55</v>
      </c>
      <c r="AW28" s="6">
        <v>60</v>
      </c>
      <c r="AX28" s="6">
        <v>55</v>
      </c>
      <c r="AY28" s="24">
        <f>IF(Form_Responses1[[#This Row],[ket_cuc]]="Không tử vong", 0, 1)</f>
        <v>0</v>
      </c>
      <c r="AZ28" s="1" t="s">
        <v>24</v>
      </c>
      <c r="BA28" s="32">
        <v>39</v>
      </c>
      <c r="BB28" s="32">
        <v>8.2746664071492906E-2</v>
      </c>
    </row>
    <row r="29" spans="1:54" ht="15.75" customHeight="1" x14ac:dyDescent="0.15">
      <c r="A29" s="2" t="s">
        <v>330</v>
      </c>
      <c r="B29" s="15">
        <v>69</v>
      </c>
      <c r="C29" s="15">
        <f>IF(Form_Responses1[[#This Row],[gioi_tinh]]="Nữ", 0, 1)</f>
        <v>0</v>
      </c>
      <c r="D29" s="2" t="s">
        <v>20</v>
      </c>
      <c r="E29" s="15">
        <v>18.3</v>
      </c>
      <c r="F29" s="15">
        <f>IF(Form_Responses1[[#This Row],[dai_thao_duong]]="Không", 0, 1)</f>
        <v>0</v>
      </c>
      <c r="G29" s="2" t="s">
        <v>21</v>
      </c>
      <c r="H29" s="15">
        <f t="shared" si="0"/>
        <v>0</v>
      </c>
      <c r="I29" s="2" t="s">
        <v>21</v>
      </c>
      <c r="J29" s="15">
        <f>IF(Form_Responses1[[#This Row],[hoi_chung_vanh_man]]="Không", 0, 1)</f>
        <v>1</v>
      </c>
      <c r="K29" s="2" t="s">
        <v>22</v>
      </c>
      <c r="L29" s="15">
        <f>IF(Form_Responses1[[#This Row],[ckd]]="Không", 0, 1)</f>
        <v>0</v>
      </c>
      <c r="M29" s="2" t="s">
        <v>21</v>
      </c>
      <c r="N29" s="15">
        <f t="shared" si="1"/>
        <v>0</v>
      </c>
      <c r="O29" s="2" t="s">
        <v>21</v>
      </c>
      <c r="P29" s="15">
        <f>IF(Form_Responses1[[#This Row],[phan_loai_the_lam_sang]]="Suy tim mất bù cấp", 1,0)</f>
        <v>1</v>
      </c>
      <c r="Q29" s="15">
        <f>IF(Form_Responses1[[#This Row],[phan_loai_the_lam_sang]]="Phù phổi cấp", 1, 0)</f>
        <v>0</v>
      </c>
      <c r="R29" s="15">
        <f>IF(Form_Responses1[[#This Row],[phan_loai_the_lam_sang]]="Choáng tim", 1, 0)</f>
        <v>0</v>
      </c>
      <c r="S29" s="2" t="s">
        <v>23</v>
      </c>
      <c r="T29" s="15">
        <v>86</v>
      </c>
      <c r="U29" s="15">
        <v>150</v>
      </c>
      <c r="V29" s="15">
        <v>100</v>
      </c>
      <c r="W29" s="15">
        <f>IF(Form_Responses1[[#This Row],[hcvc]]="Không", 0, 1)</f>
        <v>0</v>
      </c>
      <c r="X29" s="2" t="s">
        <v>21</v>
      </c>
      <c r="Y29" s="15">
        <f>IF(Form_Responses1[[#This Row],[suy_ho_hap]]="Không", 0, 1)</f>
        <v>1</v>
      </c>
      <c r="Z29" s="2" t="s">
        <v>22</v>
      </c>
      <c r="AA29" s="15">
        <f>IF(Form_Responses1[[#This Row],[rung_nhi]]="Không", 0, 1)</f>
        <v>1</v>
      </c>
      <c r="AB29" s="2" t="s">
        <v>22</v>
      </c>
      <c r="AC29" s="15">
        <v>421</v>
      </c>
      <c r="AD29" s="15">
        <v>0.12</v>
      </c>
      <c r="AE29" s="15">
        <v>4.9400000000000004</v>
      </c>
      <c r="AF29" s="15">
        <v>131</v>
      </c>
      <c r="AG29" s="15">
        <v>161</v>
      </c>
      <c r="AH29" s="15">
        <v>137</v>
      </c>
      <c r="AI29" s="15">
        <v>2.9</v>
      </c>
      <c r="AJ29" s="15">
        <v>28</v>
      </c>
      <c r="AK29" s="15">
        <v>1.32</v>
      </c>
      <c r="AL29" s="2" t="s">
        <v>21</v>
      </c>
      <c r="AM29" s="28">
        <v>5214.75</v>
      </c>
      <c r="AN29" s="6">
        <f>IF(Form_Responses1[[#This Row],[NT_proBNP &gt; 35000]]="Có", 35001, Form_Responses1[[#This Row],[NT_ProBNP]])</f>
        <v>5214.75</v>
      </c>
      <c r="AO29" s="27">
        <f>IF(Form_Responses1[[#This Row],[NT_proBNP &gt; 35000]]="Có", 1, 0)</f>
        <v>0</v>
      </c>
      <c r="AP29" s="15">
        <v>56.17</v>
      </c>
      <c r="AQ29" s="15">
        <v>74</v>
      </c>
      <c r="AR29" s="15">
        <v>79</v>
      </c>
      <c r="AS29" s="15">
        <v>132</v>
      </c>
      <c r="AT29" s="15">
        <v>62</v>
      </c>
      <c r="AU29" s="15">
        <v>34.4</v>
      </c>
      <c r="AV29" s="15">
        <v>50.8</v>
      </c>
      <c r="AW29" s="15">
        <v>60</v>
      </c>
      <c r="AX29" s="18"/>
      <c r="AY29" s="26">
        <f>IF(Form_Responses1[[#This Row],[ket_cuc]]="Không tử vong", 0, 1)</f>
        <v>0</v>
      </c>
      <c r="AZ29" s="2" t="s">
        <v>24</v>
      </c>
      <c r="BA29" s="32">
        <v>34</v>
      </c>
      <c r="BB29" s="32">
        <v>5.0565356868671273E-2</v>
      </c>
    </row>
    <row r="30" spans="1:54" ht="15.75" customHeight="1" x14ac:dyDescent="0.15">
      <c r="A30" s="2" t="s">
        <v>243</v>
      </c>
      <c r="B30" s="15">
        <v>62</v>
      </c>
      <c r="C30" s="15">
        <f>IF(Form_Responses1[[#This Row],[gioi_tinh]]="Nữ", 0, 1)</f>
        <v>1</v>
      </c>
      <c r="D30" s="2" t="s">
        <v>26</v>
      </c>
      <c r="E30" s="15">
        <v>23.5</v>
      </c>
      <c r="F30" s="15">
        <f>IF(Form_Responses1[[#This Row],[dai_thao_duong]]="Không", 0, 1)</f>
        <v>0</v>
      </c>
      <c r="G30" s="2" t="s">
        <v>21</v>
      </c>
      <c r="H30" s="15">
        <f t="shared" si="0"/>
        <v>1</v>
      </c>
      <c r="I30" s="2" t="s">
        <v>22</v>
      </c>
      <c r="J30" s="15">
        <f>IF(Form_Responses1[[#This Row],[hoi_chung_vanh_man]]="Không", 0, 1)</f>
        <v>0</v>
      </c>
      <c r="K30" s="2" t="s">
        <v>21</v>
      </c>
      <c r="L30" s="15">
        <f>IF(Form_Responses1[[#This Row],[ckd]]="Không", 0, 1)</f>
        <v>0</v>
      </c>
      <c r="M30" s="2" t="s">
        <v>21</v>
      </c>
      <c r="N30" s="15">
        <f t="shared" si="1"/>
        <v>0</v>
      </c>
      <c r="O30" s="2" t="s">
        <v>21</v>
      </c>
      <c r="P30" s="15">
        <f>IF(Form_Responses1[[#This Row],[phan_loai_the_lam_sang]]="Suy tim mất bù cấp", 1,0)</f>
        <v>1</v>
      </c>
      <c r="Q30" s="15">
        <f>IF(Form_Responses1[[#This Row],[phan_loai_the_lam_sang]]="Phù phổi cấp", 1, 0)</f>
        <v>0</v>
      </c>
      <c r="R30" s="15">
        <f>IF(Form_Responses1[[#This Row],[phan_loai_the_lam_sang]]="Choáng tim", 1, 0)</f>
        <v>0</v>
      </c>
      <c r="S30" s="2" t="s">
        <v>23</v>
      </c>
      <c r="T30" s="15">
        <v>64</v>
      </c>
      <c r="U30" s="15">
        <v>130</v>
      </c>
      <c r="V30" s="15">
        <v>80</v>
      </c>
      <c r="W30" s="15">
        <f>IF(Form_Responses1[[#This Row],[hcvc]]="Không", 0, 1)</f>
        <v>0</v>
      </c>
      <c r="X30" s="2" t="s">
        <v>21</v>
      </c>
      <c r="Y30" s="15">
        <f>IF(Form_Responses1[[#This Row],[suy_ho_hap]]="Không", 0, 1)</f>
        <v>0</v>
      </c>
      <c r="Z30" s="2" t="s">
        <v>21</v>
      </c>
      <c r="AA30" s="15">
        <f>IF(Form_Responses1[[#This Row],[rung_nhi]]="Không", 0, 1)</f>
        <v>1</v>
      </c>
      <c r="AB30" s="2" t="s">
        <v>22</v>
      </c>
      <c r="AC30" s="15">
        <v>362</v>
      </c>
      <c r="AD30" s="15">
        <v>0.08</v>
      </c>
      <c r="AE30" s="15">
        <v>7.44</v>
      </c>
      <c r="AF30" s="15">
        <v>152</v>
      </c>
      <c r="AG30" s="15">
        <v>172</v>
      </c>
      <c r="AH30" s="15">
        <v>136</v>
      </c>
      <c r="AI30" s="15">
        <v>3.9</v>
      </c>
      <c r="AJ30" s="15">
        <v>29</v>
      </c>
      <c r="AK30" s="15">
        <v>1.02</v>
      </c>
      <c r="AL30" s="2" t="s">
        <v>21</v>
      </c>
      <c r="AM30" s="2">
        <v>4216.43</v>
      </c>
      <c r="AN30" s="6">
        <f>IF(Form_Responses1[[#This Row],[NT_proBNP &gt; 35000]]="Có", 35001, Form_Responses1[[#This Row],[NT_ProBNP]])</f>
        <v>4216.43</v>
      </c>
      <c r="AO30" s="15">
        <f>IF(Form_Responses1[[#This Row],[NT_proBNP &gt; 35000]]="Có", 1, 0)</f>
        <v>0</v>
      </c>
      <c r="AP30" s="15">
        <v>62.34</v>
      </c>
      <c r="AQ30" s="15">
        <v>35</v>
      </c>
      <c r="AR30" s="15">
        <v>23</v>
      </c>
      <c r="AS30" s="15">
        <v>106</v>
      </c>
      <c r="AT30" s="27">
        <v>54</v>
      </c>
      <c r="AU30" s="15">
        <v>40</v>
      </c>
      <c r="AV30" s="15">
        <v>64</v>
      </c>
      <c r="AW30" s="15">
        <v>60</v>
      </c>
      <c r="AX30" s="15">
        <v>70</v>
      </c>
      <c r="AY30" s="22">
        <f>IF(Form_Responses1[[#This Row],[ket_cuc]]="Không tử vong", 0, 1)</f>
        <v>0</v>
      </c>
      <c r="AZ30" s="2" t="s">
        <v>24</v>
      </c>
      <c r="BA30" s="32">
        <v>36</v>
      </c>
      <c r="BB30" s="32">
        <v>4.6654855452247734E-2</v>
      </c>
    </row>
    <row r="31" spans="1:54" ht="15.75" customHeight="1" x14ac:dyDescent="0.15">
      <c r="A31" s="2" t="s">
        <v>271</v>
      </c>
      <c r="B31" s="15">
        <v>56</v>
      </c>
      <c r="C31" s="15">
        <f>IF(Form_Responses1[[#This Row],[gioi_tinh]]="Nữ", 0, 1)</f>
        <v>1</v>
      </c>
      <c r="D31" s="2" t="s">
        <v>26</v>
      </c>
      <c r="E31" s="15">
        <v>30</v>
      </c>
      <c r="F31" s="15">
        <f>IF(Form_Responses1[[#This Row],[dai_thao_duong]]="Không", 0, 1)</f>
        <v>1</v>
      </c>
      <c r="G31" s="2" t="s">
        <v>22</v>
      </c>
      <c r="H31" s="15">
        <f t="shared" si="0"/>
        <v>1</v>
      </c>
      <c r="I31" s="2" t="s">
        <v>22</v>
      </c>
      <c r="J31" s="15">
        <f>IF(Form_Responses1[[#This Row],[hoi_chung_vanh_man]]="Không", 0, 1)</f>
        <v>0</v>
      </c>
      <c r="K31" s="2" t="s">
        <v>21</v>
      </c>
      <c r="L31" s="15">
        <f>IF(Form_Responses1[[#This Row],[ckd]]="Không", 0, 1)</f>
        <v>0</v>
      </c>
      <c r="M31" s="2" t="s">
        <v>21</v>
      </c>
      <c r="N31" s="15">
        <f t="shared" si="1"/>
        <v>0</v>
      </c>
      <c r="O31" s="2" t="s">
        <v>21</v>
      </c>
      <c r="P31" s="15">
        <f>IF(Form_Responses1[[#This Row],[phan_loai_the_lam_sang]]="Suy tim mất bù cấp", 1,0)</f>
        <v>1</v>
      </c>
      <c r="Q31" s="15">
        <f>IF(Form_Responses1[[#This Row],[phan_loai_the_lam_sang]]="Phù phổi cấp", 1, 0)</f>
        <v>0</v>
      </c>
      <c r="R31" s="15">
        <f>IF(Form_Responses1[[#This Row],[phan_loai_the_lam_sang]]="Choáng tim", 1, 0)</f>
        <v>0</v>
      </c>
      <c r="S31" s="2" t="s">
        <v>23</v>
      </c>
      <c r="T31" s="15">
        <v>90</v>
      </c>
      <c r="U31" s="15">
        <v>140</v>
      </c>
      <c r="V31" s="15">
        <v>70</v>
      </c>
      <c r="W31" s="15">
        <f>IF(Form_Responses1[[#This Row],[hcvc]]="Không", 0, 1)</f>
        <v>0</v>
      </c>
      <c r="X31" s="2" t="s">
        <v>21</v>
      </c>
      <c r="Y31" s="15">
        <f>IF(Form_Responses1[[#This Row],[suy_ho_hap]]="Không", 0, 1)</f>
        <v>0</v>
      </c>
      <c r="Z31" s="2" t="s">
        <v>21</v>
      </c>
      <c r="AA31" s="15">
        <f>IF(Form_Responses1[[#This Row],[rung_nhi]]="Không", 0, 1)</f>
        <v>1</v>
      </c>
      <c r="AB31" s="2" t="s">
        <v>22</v>
      </c>
      <c r="AC31" s="15">
        <v>398</v>
      </c>
      <c r="AD31" s="15">
        <v>0.06</v>
      </c>
      <c r="AE31" s="15">
        <v>5.2</v>
      </c>
      <c r="AF31" s="15">
        <v>72</v>
      </c>
      <c r="AG31" s="15">
        <v>228</v>
      </c>
      <c r="AH31" s="15">
        <v>134</v>
      </c>
      <c r="AI31" s="15">
        <v>4.0999999999999996</v>
      </c>
      <c r="AJ31" s="15">
        <v>8</v>
      </c>
      <c r="AK31" s="15">
        <v>0.83</v>
      </c>
      <c r="AL31" s="2" t="s">
        <v>21</v>
      </c>
      <c r="AM31" s="28">
        <v>1410.96</v>
      </c>
      <c r="AN31" s="6">
        <f>IF(Form_Responses1[[#This Row],[NT_proBNP &gt; 35000]]="Có", 35001, Form_Responses1[[#This Row],[NT_ProBNP]])</f>
        <v>1410.96</v>
      </c>
      <c r="AO31" s="27">
        <f>IF(Form_Responses1[[#This Row],[NT_proBNP &gt; 35000]]="Có", 1, 0)</f>
        <v>0</v>
      </c>
      <c r="AP31" s="15">
        <v>308.29000000000002</v>
      </c>
      <c r="AQ31" s="15">
        <v>10</v>
      </c>
      <c r="AR31" s="15">
        <v>7</v>
      </c>
      <c r="AS31" s="15">
        <v>199</v>
      </c>
      <c r="AU31" s="15">
        <v>34</v>
      </c>
      <c r="AV31" s="15">
        <v>51</v>
      </c>
      <c r="AW31" s="15">
        <v>60</v>
      </c>
      <c r="AX31" s="27">
        <v>25</v>
      </c>
      <c r="AY31" s="29">
        <f>IF(Form_Responses1[[#This Row],[ket_cuc]]="Không tử vong", 0, 1)</f>
        <v>0</v>
      </c>
      <c r="AZ31" s="2" t="s">
        <v>24</v>
      </c>
      <c r="BA31" s="32">
        <v>31</v>
      </c>
      <c r="BB31" s="32">
        <v>4.3000134800976537E-2</v>
      </c>
    </row>
    <row r="32" spans="1:54" ht="15.75" customHeight="1" x14ac:dyDescent="0.15">
      <c r="A32" s="1" t="s">
        <v>253</v>
      </c>
      <c r="B32" s="6">
        <v>57</v>
      </c>
      <c r="C32" s="6">
        <f>IF(Form_Responses1[[#This Row],[gioi_tinh]]="Nữ", 0, 1)</f>
        <v>1</v>
      </c>
      <c r="D32" s="1" t="s">
        <v>26</v>
      </c>
      <c r="E32" s="6">
        <v>16.100000000000001</v>
      </c>
      <c r="F32" s="6">
        <f>IF(Form_Responses1[[#This Row],[dai_thao_duong]]="Không", 0, 1)</f>
        <v>0</v>
      </c>
      <c r="G32" s="1" t="s">
        <v>21</v>
      </c>
      <c r="H32" s="6">
        <f t="shared" si="0"/>
        <v>1</v>
      </c>
      <c r="I32" s="1" t="s">
        <v>22</v>
      </c>
      <c r="J32" s="6">
        <f>IF(Form_Responses1[[#This Row],[hoi_chung_vanh_man]]="Không", 0, 1)</f>
        <v>1</v>
      </c>
      <c r="K32" s="1" t="s">
        <v>22</v>
      </c>
      <c r="L32" s="6">
        <f>IF(Form_Responses1[[#This Row],[ckd]]="Không", 0, 1)</f>
        <v>0</v>
      </c>
      <c r="M32" s="1" t="s">
        <v>21</v>
      </c>
      <c r="N32" s="6">
        <f t="shared" si="1"/>
        <v>0</v>
      </c>
      <c r="O32" s="1" t="s">
        <v>21</v>
      </c>
      <c r="P32" s="6">
        <f>IF(Form_Responses1[[#This Row],[phan_loai_the_lam_sang]]="Suy tim mất bù cấp", 1,0)</f>
        <v>1</v>
      </c>
      <c r="Q32" s="6">
        <f>IF(Form_Responses1[[#This Row],[phan_loai_the_lam_sang]]="Phù phổi cấp", 1, 0)</f>
        <v>0</v>
      </c>
      <c r="R32" s="6">
        <f>IF(Form_Responses1[[#This Row],[phan_loai_the_lam_sang]]="Choáng tim", 1, 0)</f>
        <v>0</v>
      </c>
      <c r="S32" s="1" t="s">
        <v>23</v>
      </c>
      <c r="T32" s="6">
        <v>122</v>
      </c>
      <c r="U32" s="6">
        <v>140</v>
      </c>
      <c r="V32" s="6">
        <v>80</v>
      </c>
      <c r="W32" s="6">
        <f>IF(Form_Responses1[[#This Row],[hcvc]]="Không", 0, 1)</f>
        <v>0</v>
      </c>
      <c r="X32" s="1" t="s">
        <v>21</v>
      </c>
      <c r="Y32" s="6">
        <f>IF(Form_Responses1[[#This Row],[suy_ho_hap]]="Không", 0, 1)</f>
        <v>0</v>
      </c>
      <c r="Z32" s="1" t="s">
        <v>21</v>
      </c>
      <c r="AA32" s="6">
        <f>IF(Form_Responses1[[#This Row],[rung_nhi]]="Không", 0, 1)</f>
        <v>0</v>
      </c>
      <c r="AB32" s="1" t="s">
        <v>21</v>
      </c>
      <c r="AC32" s="6">
        <v>469</v>
      </c>
      <c r="AD32" s="6">
        <v>0.08</v>
      </c>
      <c r="AE32" s="6">
        <v>11.8</v>
      </c>
      <c r="AF32" s="6">
        <v>131</v>
      </c>
      <c r="AG32" s="6">
        <v>203</v>
      </c>
      <c r="AH32" s="6">
        <v>136</v>
      </c>
      <c r="AI32" s="6">
        <v>3.9</v>
      </c>
      <c r="AJ32" s="6">
        <v>21.96</v>
      </c>
      <c r="AK32" s="6">
        <v>1.78</v>
      </c>
      <c r="AL32" s="1" t="s">
        <v>21</v>
      </c>
      <c r="AM32" s="1">
        <v>9624</v>
      </c>
      <c r="AN32" s="6">
        <f>IF(Form_Responses1[[#This Row],[NT_proBNP &gt; 35000]]="Có", 35001, Form_Responses1[[#This Row],[NT_ProBNP]])</f>
        <v>9624</v>
      </c>
      <c r="AO32" s="27">
        <f>IF(Form_Responses1[[#This Row],[NT_proBNP &gt; 35000]]="Có", 1, 0)</f>
        <v>0</v>
      </c>
      <c r="AP32" s="27">
        <v>2507.5</v>
      </c>
      <c r="AQ32" s="6">
        <v>50</v>
      </c>
      <c r="AR32" s="6">
        <v>33</v>
      </c>
      <c r="AS32" s="6">
        <v>114</v>
      </c>
      <c r="AT32" s="6">
        <v>40</v>
      </c>
      <c r="AU32" s="6">
        <v>38</v>
      </c>
      <c r="AV32" s="6">
        <v>57</v>
      </c>
      <c r="AW32" s="6">
        <v>60</v>
      </c>
      <c r="AX32" s="13"/>
      <c r="AY32" s="23">
        <f>IF(Form_Responses1[[#This Row],[ket_cuc]]="Không tử vong", 0, 1)</f>
        <v>0</v>
      </c>
      <c r="AZ32" s="1" t="s">
        <v>24</v>
      </c>
      <c r="BA32" s="32">
        <v>39</v>
      </c>
      <c r="BB32" s="32">
        <v>7.2382964204897024E-2</v>
      </c>
    </row>
    <row r="33" spans="1:54" ht="15.75" customHeight="1" x14ac:dyDescent="0.15">
      <c r="A33" s="2" t="s">
        <v>345</v>
      </c>
      <c r="B33" s="15">
        <v>48</v>
      </c>
      <c r="C33" s="15">
        <f>IF(Form_Responses1[[#This Row],[gioi_tinh]]="Nữ", 0, 1)</f>
        <v>0</v>
      </c>
      <c r="D33" s="2" t="s">
        <v>20</v>
      </c>
      <c r="E33" s="15">
        <v>24.4</v>
      </c>
      <c r="F33" s="15">
        <f>IF(Form_Responses1[[#This Row],[dai_thao_duong]]="Không", 0, 1)</f>
        <v>1</v>
      </c>
      <c r="G33" s="2" t="s">
        <v>22</v>
      </c>
      <c r="H33" s="15">
        <f t="shared" si="0"/>
        <v>1</v>
      </c>
      <c r="I33" s="2" t="s">
        <v>22</v>
      </c>
      <c r="J33" s="15">
        <f>IF(Form_Responses1[[#This Row],[hoi_chung_vanh_man]]="Không", 0, 1)</f>
        <v>1</v>
      </c>
      <c r="K33" s="2" t="s">
        <v>22</v>
      </c>
      <c r="L33" s="15">
        <f>IF(Form_Responses1[[#This Row],[ckd]]="Không", 0, 1)</f>
        <v>1</v>
      </c>
      <c r="M33" s="2" t="s">
        <v>22</v>
      </c>
      <c r="N33" s="15">
        <f t="shared" si="1"/>
        <v>0</v>
      </c>
      <c r="O33" s="2" t="s">
        <v>21</v>
      </c>
      <c r="P33" s="15">
        <f>IF(Form_Responses1[[#This Row],[phan_loai_the_lam_sang]]="Suy tim mất bù cấp", 1,0)</f>
        <v>1</v>
      </c>
      <c r="Q33" s="15">
        <f>IF(Form_Responses1[[#This Row],[phan_loai_the_lam_sang]]="Phù phổi cấp", 1, 0)</f>
        <v>0</v>
      </c>
      <c r="R33" s="15">
        <f>IF(Form_Responses1[[#This Row],[phan_loai_the_lam_sang]]="Choáng tim", 1, 0)</f>
        <v>0</v>
      </c>
      <c r="S33" s="2" t="s">
        <v>23</v>
      </c>
      <c r="T33" s="15">
        <v>79</v>
      </c>
      <c r="U33" s="15">
        <v>170</v>
      </c>
      <c r="V33" s="15">
        <v>80</v>
      </c>
      <c r="W33" s="15">
        <f>IF(Form_Responses1[[#This Row],[hcvc]]="Không", 0, 1)</f>
        <v>1</v>
      </c>
      <c r="X33" s="2" t="s">
        <v>22</v>
      </c>
      <c r="Y33" s="15">
        <f>IF(Form_Responses1[[#This Row],[suy_ho_hap]]="Không", 0, 1)</f>
        <v>0</v>
      </c>
      <c r="Z33" s="2" t="s">
        <v>21</v>
      </c>
      <c r="AA33" s="15">
        <f>IF(Form_Responses1[[#This Row],[rung_nhi]]="Không", 0, 1)</f>
        <v>0</v>
      </c>
      <c r="AB33" s="2" t="s">
        <v>21</v>
      </c>
      <c r="AC33" s="15">
        <v>447</v>
      </c>
      <c r="AD33" s="15">
        <v>0.06</v>
      </c>
      <c r="AE33" s="15">
        <v>6.5</v>
      </c>
      <c r="AF33" s="15">
        <v>71</v>
      </c>
      <c r="AG33" s="15">
        <v>254</v>
      </c>
      <c r="AH33" s="15">
        <v>142</v>
      </c>
      <c r="AI33" s="15">
        <v>2.7</v>
      </c>
      <c r="AJ33" s="15">
        <v>15.9</v>
      </c>
      <c r="AK33" s="15">
        <v>1.18</v>
      </c>
      <c r="AL33" s="2" t="s">
        <v>21</v>
      </c>
      <c r="AM33" s="28">
        <v>9167.7999999999993</v>
      </c>
      <c r="AN33" s="6">
        <f>IF(Form_Responses1[[#This Row],[NT_proBNP &gt; 35000]]="Có", 35001, Form_Responses1[[#This Row],[NT_ProBNP]])</f>
        <v>9167.7999999999993</v>
      </c>
      <c r="AO33" s="27">
        <f>IF(Form_Responses1[[#This Row],[NT_proBNP &gt; 35000]]="Có", 1, 0)</f>
        <v>0</v>
      </c>
      <c r="AP33" s="15">
        <v>13.6</v>
      </c>
      <c r="AQ33" s="15">
        <v>21</v>
      </c>
      <c r="AR33" s="15">
        <v>8</v>
      </c>
      <c r="AS33" s="18">
        <v>187</v>
      </c>
      <c r="AU33" s="15">
        <v>40</v>
      </c>
      <c r="AV33" s="15">
        <v>59</v>
      </c>
      <c r="AW33" s="15">
        <v>59</v>
      </c>
      <c r="AX33" s="15">
        <v>20</v>
      </c>
      <c r="AY33" s="22">
        <f>IF(Form_Responses1[[#This Row],[ket_cuc]]="Không tử vong", 0, 1)</f>
        <v>0</v>
      </c>
      <c r="AZ33" s="2" t="s">
        <v>24</v>
      </c>
      <c r="BA33" s="32">
        <v>19</v>
      </c>
      <c r="BB33" s="32">
        <v>2.9266171983208324E-2</v>
      </c>
    </row>
    <row r="34" spans="1:54" ht="15.75" customHeight="1" x14ac:dyDescent="0.15">
      <c r="A34" s="1" t="s">
        <v>101</v>
      </c>
      <c r="B34" s="6">
        <v>84</v>
      </c>
      <c r="C34" s="6">
        <f>IF(Form_Responses1[[#This Row],[gioi_tinh]]="Nữ", 0, 1)</f>
        <v>1</v>
      </c>
      <c r="D34" s="1" t="s">
        <v>26</v>
      </c>
      <c r="E34" s="6">
        <v>22.04</v>
      </c>
      <c r="F34" s="6">
        <f>IF(Form_Responses1[[#This Row],[dai_thao_duong]]="Không", 0, 1)</f>
        <v>1</v>
      </c>
      <c r="G34" s="1" t="s">
        <v>22</v>
      </c>
      <c r="H34" s="6">
        <f t="shared" si="0"/>
        <v>1</v>
      </c>
      <c r="I34" s="1" t="s">
        <v>22</v>
      </c>
      <c r="J34" s="6">
        <f>IF(Form_Responses1[[#This Row],[hoi_chung_vanh_man]]="Không", 0, 1)</f>
        <v>1</v>
      </c>
      <c r="K34" s="1" t="s">
        <v>22</v>
      </c>
      <c r="L34" s="6">
        <f>IF(Form_Responses1[[#This Row],[ckd]]="Không", 0, 1)</f>
        <v>1</v>
      </c>
      <c r="M34" s="1" t="s">
        <v>22</v>
      </c>
      <c r="N34" s="6">
        <f t="shared" si="1"/>
        <v>0</v>
      </c>
      <c r="O34" s="1" t="s">
        <v>21</v>
      </c>
      <c r="P34" s="6">
        <f>IF(Form_Responses1[[#This Row],[phan_loai_the_lam_sang]]="Suy tim mất bù cấp", 1,0)</f>
        <v>0</v>
      </c>
      <c r="Q34" s="6">
        <f>IF(Form_Responses1[[#This Row],[phan_loai_the_lam_sang]]="Phù phổi cấp", 1, 0)</f>
        <v>0</v>
      </c>
      <c r="R34" s="6">
        <f>IF(Form_Responses1[[#This Row],[phan_loai_the_lam_sang]]="Choáng tim", 1, 0)</f>
        <v>1</v>
      </c>
      <c r="S34" s="1" t="s">
        <v>28</v>
      </c>
      <c r="T34" s="6">
        <v>104</v>
      </c>
      <c r="U34" s="6">
        <v>131</v>
      </c>
      <c r="V34" s="6">
        <v>48</v>
      </c>
      <c r="W34" s="6">
        <f>IF(Form_Responses1[[#This Row],[hcvc]]="Không", 0, 1)</f>
        <v>1</v>
      </c>
      <c r="X34" s="1" t="s">
        <v>22</v>
      </c>
      <c r="Y34" s="6">
        <f>IF(Form_Responses1[[#This Row],[suy_ho_hap]]="Không", 0, 1)</f>
        <v>1</v>
      </c>
      <c r="Z34" s="1" t="s">
        <v>22</v>
      </c>
      <c r="AA34" s="6">
        <f>IF(Form_Responses1[[#This Row],[rung_nhi]]="Không", 0, 1)</f>
        <v>0</v>
      </c>
      <c r="AB34" s="1" t="s">
        <v>21</v>
      </c>
      <c r="AC34" s="6">
        <v>465</v>
      </c>
      <c r="AD34" s="6">
        <v>0.1</v>
      </c>
      <c r="AE34" s="6">
        <v>22.7</v>
      </c>
      <c r="AF34" s="6">
        <v>93</v>
      </c>
      <c r="AG34" s="6">
        <v>104</v>
      </c>
      <c r="AH34" s="6">
        <v>133</v>
      </c>
      <c r="AI34" s="6">
        <v>4</v>
      </c>
      <c r="AJ34" s="6">
        <v>14</v>
      </c>
      <c r="AK34" s="6">
        <v>2.4300000000000002</v>
      </c>
      <c r="AL34" s="1" t="s">
        <v>21</v>
      </c>
      <c r="AM34" s="1">
        <v>7145.8</v>
      </c>
      <c r="AN34" s="6">
        <f>IF(Form_Responses1[[#This Row],[NT_proBNP &gt; 35000]]="Có", 35001, Form_Responses1[[#This Row],[NT_ProBNP]])</f>
        <v>7145.8</v>
      </c>
      <c r="AO34" s="6">
        <f>IF(Form_Responses1[[#This Row],[NT_proBNP &gt; 35000]]="Có", 1, 0)</f>
        <v>0</v>
      </c>
      <c r="AP34" s="6">
        <v>17328.87</v>
      </c>
      <c r="AQ34" s="6">
        <v>71</v>
      </c>
      <c r="AR34" s="6">
        <v>6</v>
      </c>
      <c r="AS34" s="6">
        <v>199</v>
      </c>
      <c r="AT34" s="27">
        <v>32.5</v>
      </c>
      <c r="AU34" s="6">
        <v>42</v>
      </c>
      <c r="AV34" s="6">
        <v>51.7</v>
      </c>
      <c r="AW34" s="6">
        <v>59</v>
      </c>
      <c r="AX34" s="6">
        <v>68</v>
      </c>
      <c r="AY34" s="24">
        <f>IF(Form_Responses1[[#This Row],[ket_cuc]]="Không tử vong", 0, 1)</f>
        <v>0</v>
      </c>
      <c r="AZ34" s="1" t="s">
        <v>24</v>
      </c>
      <c r="BA34" s="32">
        <v>46</v>
      </c>
      <c r="BB34" s="32">
        <v>0.17318794727986822</v>
      </c>
    </row>
    <row r="35" spans="1:54" ht="15.75" customHeight="1" x14ac:dyDescent="0.15">
      <c r="A35" s="2" t="s">
        <v>254</v>
      </c>
      <c r="B35" s="15">
        <v>55</v>
      </c>
      <c r="C35" s="15">
        <f>IF(Form_Responses1[[#This Row],[gioi_tinh]]="Nữ", 0, 1)</f>
        <v>1</v>
      </c>
      <c r="D35" s="2" t="s">
        <v>26</v>
      </c>
      <c r="E35" s="15">
        <v>19.5</v>
      </c>
      <c r="F35" s="15">
        <f>IF(Form_Responses1[[#This Row],[dai_thao_duong]]="Không", 0, 1)</f>
        <v>0</v>
      </c>
      <c r="G35" s="2" t="s">
        <v>21</v>
      </c>
      <c r="H35" s="15">
        <f t="shared" si="0"/>
        <v>1</v>
      </c>
      <c r="I35" s="2" t="s">
        <v>22</v>
      </c>
      <c r="J35" s="15">
        <f>IF(Form_Responses1[[#This Row],[hoi_chung_vanh_man]]="Không", 0, 1)</f>
        <v>1</v>
      </c>
      <c r="K35" s="2" t="s">
        <v>22</v>
      </c>
      <c r="L35" s="15">
        <f>IF(Form_Responses1[[#This Row],[ckd]]="Không", 0, 1)</f>
        <v>0</v>
      </c>
      <c r="M35" s="2" t="s">
        <v>21</v>
      </c>
      <c r="N35" s="15">
        <f t="shared" si="1"/>
        <v>0</v>
      </c>
      <c r="O35" s="2" t="s">
        <v>21</v>
      </c>
      <c r="P35" s="15">
        <f>IF(Form_Responses1[[#This Row],[phan_loai_the_lam_sang]]="Suy tim mất bù cấp", 1,0)</f>
        <v>0</v>
      </c>
      <c r="Q35" s="15">
        <f>IF(Form_Responses1[[#This Row],[phan_loai_the_lam_sang]]="Phù phổi cấp", 1, 0)</f>
        <v>1</v>
      </c>
      <c r="R35" s="15">
        <f>IF(Form_Responses1[[#This Row],[phan_loai_the_lam_sang]]="Choáng tim", 1, 0)</f>
        <v>0</v>
      </c>
      <c r="S35" s="2" t="s">
        <v>45</v>
      </c>
      <c r="T35" s="15">
        <v>100</v>
      </c>
      <c r="U35" s="15">
        <v>150</v>
      </c>
      <c r="V35" s="15">
        <v>70</v>
      </c>
      <c r="W35" s="15">
        <f>IF(Form_Responses1[[#This Row],[hcvc]]="Không", 0, 1)</f>
        <v>0</v>
      </c>
      <c r="X35" s="2" t="s">
        <v>21</v>
      </c>
      <c r="Y35" s="15">
        <f>IF(Form_Responses1[[#This Row],[suy_ho_hap]]="Không", 0, 1)</f>
        <v>1</v>
      </c>
      <c r="Z35" s="2" t="s">
        <v>22</v>
      </c>
      <c r="AA35" s="15">
        <f>IF(Form_Responses1[[#This Row],[rung_nhi]]="Không", 0, 1)</f>
        <v>0</v>
      </c>
      <c r="AB35" s="2" t="s">
        <v>21</v>
      </c>
      <c r="AC35" s="15">
        <v>443</v>
      </c>
      <c r="AD35" s="15">
        <v>0.08</v>
      </c>
      <c r="AE35" s="15">
        <v>8.6999999999999993</v>
      </c>
      <c r="AF35" s="15">
        <v>109</v>
      </c>
      <c r="AG35" s="15">
        <v>259</v>
      </c>
      <c r="AH35" s="15">
        <v>140</v>
      </c>
      <c r="AI35" s="15">
        <v>3.6</v>
      </c>
      <c r="AJ35" s="15">
        <v>17</v>
      </c>
      <c r="AK35" s="15">
        <v>1.3</v>
      </c>
      <c r="AL35" s="2" t="s">
        <v>21</v>
      </c>
      <c r="AM35" s="28">
        <v>10674</v>
      </c>
      <c r="AN35" s="6">
        <f>IF(Form_Responses1[[#This Row],[NT_proBNP &gt; 35000]]="Có", 35001, Form_Responses1[[#This Row],[NT_ProBNP]])</f>
        <v>10674</v>
      </c>
      <c r="AO35" s="27">
        <f>IF(Form_Responses1[[#This Row],[NT_proBNP &gt; 35000]]="Có", 1, 0)</f>
        <v>0</v>
      </c>
      <c r="AP35" s="15">
        <v>65.45</v>
      </c>
      <c r="AQ35" s="15">
        <v>20</v>
      </c>
      <c r="AR35" s="15">
        <v>11</v>
      </c>
      <c r="AS35" s="15">
        <v>126</v>
      </c>
      <c r="AT35" s="18"/>
      <c r="AU35" s="15">
        <v>35.5</v>
      </c>
      <c r="AV35" s="15">
        <v>53.9</v>
      </c>
      <c r="AW35" s="15">
        <v>58</v>
      </c>
      <c r="AX35" s="15">
        <v>34</v>
      </c>
      <c r="AY35" s="22">
        <f>IF(Form_Responses1[[#This Row],[ket_cuc]]="Không tử vong", 0, 1)</f>
        <v>0</v>
      </c>
      <c r="AZ35" s="2" t="s">
        <v>24</v>
      </c>
      <c r="BA35" s="32">
        <v>31</v>
      </c>
      <c r="BB35" s="32">
        <v>5.6807609211639673E-2</v>
      </c>
    </row>
    <row r="36" spans="1:54" ht="15.75" customHeight="1" x14ac:dyDescent="0.15">
      <c r="A36" s="1" t="s">
        <v>232</v>
      </c>
      <c r="B36" s="6">
        <v>45</v>
      </c>
      <c r="C36" s="6">
        <f>IF(Form_Responses1[[#This Row],[gioi_tinh]]="Nữ", 0, 1)</f>
        <v>0</v>
      </c>
      <c r="D36" s="1" t="s">
        <v>20</v>
      </c>
      <c r="E36" s="6">
        <v>20</v>
      </c>
      <c r="F36" s="6">
        <f>IF(Form_Responses1[[#This Row],[dai_thao_duong]]="Không", 0, 1)</f>
        <v>0</v>
      </c>
      <c r="G36" s="1" t="s">
        <v>21</v>
      </c>
      <c r="H36" s="6">
        <f t="shared" si="0"/>
        <v>0</v>
      </c>
      <c r="I36" s="1" t="s">
        <v>21</v>
      </c>
      <c r="J36" s="6">
        <f>IF(Form_Responses1[[#This Row],[hoi_chung_vanh_man]]="Không", 0, 1)</f>
        <v>0</v>
      </c>
      <c r="K36" s="1" t="s">
        <v>21</v>
      </c>
      <c r="L36" s="6">
        <f>IF(Form_Responses1[[#This Row],[ckd]]="Không", 0, 1)</f>
        <v>0</v>
      </c>
      <c r="M36" s="1" t="s">
        <v>21</v>
      </c>
      <c r="N36" s="6">
        <f t="shared" si="1"/>
        <v>0</v>
      </c>
      <c r="O36" s="1" t="s">
        <v>21</v>
      </c>
      <c r="P36" s="6">
        <f>IF(Form_Responses1[[#This Row],[phan_loai_the_lam_sang]]="Suy tim mất bù cấp", 1,0)</f>
        <v>1</v>
      </c>
      <c r="Q36" s="6">
        <f>IF(Form_Responses1[[#This Row],[phan_loai_the_lam_sang]]="Phù phổi cấp", 1, 0)</f>
        <v>0</v>
      </c>
      <c r="R36" s="6">
        <f>IF(Form_Responses1[[#This Row],[phan_loai_the_lam_sang]]="Choáng tim", 1, 0)</f>
        <v>0</v>
      </c>
      <c r="S36" s="1" t="s">
        <v>23</v>
      </c>
      <c r="T36" s="6">
        <v>90</v>
      </c>
      <c r="U36" s="6">
        <v>90</v>
      </c>
      <c r="V36" s="6">
        <v>60</v>
      </c>
      <c r="W36" s="6">
        <f>IF(Form_Responses1[[#This Row],[hcvc]]="Không", 0, 1)</f>
        <v>0</v>
      </c>
      <c r="X36" s="1" t="s">
        <v>21</v>
      </c>
      <c r="Y36" s="6">
        <f>IF(Form_Responses1[[#This Row],[suy_ho_hap]]="Không", 0, 1)</f>
        <v>1</v>
      </c>
      <c r="Z36" s="1" t="s">
        <v>22</v>
      </c>
      <c r="AA36" s="6">
        <f>IF(Form_Responses1[[#This Row],[rung_nhi]]="Không", 0, 1)</f>
        <v>0</v>
      </c>
      <c r="AB36" s="1" t="s">
        <v>21</v>
      </c>
      <c r="AC36" s="6">
        <v>413</v>
      </c>
      <c r="AD36" s="6">
        <v>0.1</v>
      </c>
      <c r="AE36" s="6">
        <v>9.2200000000000006</v>
      </c>
      <c r="AF36" s="6">
        <v>103</v>
      </c>
      <c r="AG36" s="6">
        <v>279</v>
      </c>
      <c r="AH36" s="6">
        <v>133</v>
      </c>
      <c r="AI36" s="6">
        <v>2.8</v>
      </c>
      <c r="AJ36" s="6">
        <v>9</v>
      </c>
      <c r="AK36" s="6">
        <v>0.78</v>
      </c>
      <c r="AL36" s="1" t="s">
        <v>21</v>
      </c>
      <c r="AM36" s="1">
        <v>5607</v>
      </c>
      <c r="AN36" s="6">
        <f>IF(Form_Responses1[[#This Row],[NT_proBNP &gt; 35000]]="Có", 35001, Form_Responses1[[#This Row],[NT_ProBNP]])</f>
        <v>5607</v>
      </c>
      <c r="AO36" s="6">
        <f>IF(Form_Responses1[[#This Row],[NT_proBNP &gt; 35000]]="Có", 1, 0)</f>
        <v>0</v>
      </c>
      <c r="AP36" s="13"/>
      <c r="AQ36" s="6">
        <v>30</v>
      </c>
      <c r="AR36" s="6">
        <v>14</v>
      </c>
      <c r="AS36" s="6">
        <v>109</v>
      </c>
      <c r="AT36" s="6">
        <v>39</v>
      </c>
      <c r="AU36" s="6">
        <v>33</v>
      </c>
      <c r="AV36" s="6">
        <v>48</v>
      </c>
      <c r="AW36" s="6">
        <v>58</v>
      </c>
      <c r="AX36" s="13"/>
      <c r="AY36" s="23">
        <f>IF(Form_Responses1[[#This Row],[ket_cuc]]="Không tử vong", 0, 1)</f>
        <v>0</v>
      </c>
      <c r="AZ36" s="1" t="s">
        <v>24</v>
      </c>
      <c r="BA36" s="32">
        <v>39</v>
      </c>
      <c r="BB36" s="32">
        <v>3.8933071299968924E-2</v>
      </c>
    </row>
    <row r="37" spans="1:54" ht="15.75" customHeight="1" x14ac:dyDescent="0.15">
      <c r="A37" s="2" t="s">
        <v>88</v>
      </c>
      <c r="B37" s="15">
        <v>71</v>
      </c>
      <c r="C37" s="15">
        <f>IF(Form_Responses1[[#This Row],[gioi_tinh]]="Nữ", 0, 1)</f>
        <v>1</v>
      </c>
      <c r="D37" s="2" t="s">
        <v>26</v>
      </c>
      <c r="E37" s="15">
        <v>24.7</v>
      </c>
      <c r="F37" s="15">
        <f>IF(Form_Responses1[[#This Row],[dai_thao_duong]]="Không", 0, 1)</f>
        <v>0</v>
      </c>
      <c r="G37" s="2" t="s">
        <v>21</v>
      </c>
      <c r="H37" s="15">
        <f t="shared" si="0"/>
        <v>0</v>
      </c>
      <c r="I37" s="2" t="s">
        <v>21</v>
      </c>
      <c r="J37" s="15">
        <f>IF(Form_Responses1[[#This Row],[hoi_chung_vanh_man]]="Không", 0, 1)</f>
        <v>0</v>
      </c>
      <c r="K37" s="2" t="s">
        <v>21</v>
      </c>
      <c r="L37" s="15">
        <f>IF(Form_Responses1[[#This Row],[ckd]]="Không", 0, 1)</f>
        <v>0</v>
      </c>
      <c r="M37" s="2" t="s">
        <v>21</v>
      </c>
      <c r="N37" s="15">
        <f t="shared" si="1"/>
        <v>0</v>
      </c>
      <c r="O37" s="2" t="s">
        <v>21</v>
      </c>
      <c r="P37" s="15">
        <f>IF(Form_Responses1[[#This Row],[phan_loai_the_lam_sang]]="Suy tim mất bù cấp", 1,0)</f>
        <v>0</v>
      </c>
      <c r="Q37" s="15">
        <f>IF(Form_Responses1[[#This Row],[phan_loai_the_lam_sang]]="Phù phổi cấp", 1, 0)</f>
        <v>0</v>
      </c>
      <c r="R37" s="15">
        <f>IF(Form_Responses1[[#This Row],[phan_loai_the_lam_sang]]="Choáng tim", 1, 0)</f>
        <v>1</v>
      </c>
      <c r="S37" s="2" t="s">
        <v>28</v>
      </c>
      <c r="T37" s="15">
        <v>103</v>
      </c>
      <c r="U37" s="15">
        <v>110</v>
      </c>
      <c r="V37" s="15">
        <v>70</v>
      </c>
      <c r="W37" s="15">
        <f>IF(Form_Responses1[[#This Row],[hcvc]]="Không", 0, 1)</f>
        <v>1</v>
      </c>
      <c r="X37" s="2" t="s">
        <v>22</v>
      </c>
      <c r="Y37" s="15">
        <f>IF(Form_Responses1[[#This Row],[suy_ho_hap]]="Không", 0, 1)</f>
        <v>1</v>
      </c>
      <c r="Z37" s="2" t="s">
        <v>22</v>
      </c>
      <c r="AA37" s="15">
        <f>IF(Form_Responses1[[#This Row],[rung_nhi]]="Không", 0, 1)</f>
        <v>0</v>
      </c>
      <c r="AB37" s="2" t="s">
        <v>21</v>
      </c>
      <c r="AC37" s="15">
        <v>465</v>
      </c>
      <c r="AD37" s="15">
        <v>0.08</v>
      </c>
      <c r="AE37" s="15">
        <v>35.270000000000003</v>
      </c>
      <c r="AF37" s="15">
        <v>81</v>
      </c>
      <c r="AG37" s="15">
        <v>291</v>
      </c>
      <c r="AH37" s="15">
        <v>139</v>
      </c>
      <c r="AI37" s="15">
        <v>3.4</v>
      </c>
      <c r="AJ37" s="15">
        <v>19</v>
      </c>
      <c r="AK37" s="15">
        <v>1.18</v>
      </c>
      <c r="AL37" s="2" t="s">
        <v>21</v>
      </c>
      <c r="AM37" s="2">
        <v>1865.8</v>
      </c>
      <c r="AN37" s="6">
        <f>IF(Form_Responses1[[#This Row],[NT_proBNP &gt; 35000]]="Có", 35001, Form_Responses1[[#This Row],[NT_ProBNP]])</f>
        <v>1865.8</v>
      </c>
      <c r="AO37" s="15">
        <f>IF(Form_Responses1[[#This Row],[NT_proBNP &gt; 35000]]="Có", 1, 0)</f>
        <v>0</v>
      </c>
      <c r="AP37" s="15">
        <v>22523.85</v>
      </c>
      <c r="AQ37" s="15">
        <v>224</v>
      </c>
      <c r="AR37" s="15">
        <v>60</v>
      </c>
      <c r="AS37" s="15">
        <v>128</v>
      </c>
      <c r="AT37" s="15">
        <v>35</v>
      </c>
      <c r="AU37" s="15">
        <v>38.1</v>
      </c>
      <c r="AV37" s="15">
        <v>50.9</v>
      </c>
      <c r="AW37" s="15">
        <v>58</v>
      </c>
      <c r="AX37" s="15">
        <v>20</v>
      </c>
      <c r="AY37" s="22">
        <f>IF(Form_Responses1[[#This Row],[ket_cuc]]="Không tử vong", 0, 1)</f>
        <v>1</v>
      </c>
      <c r="AZ37" s="2" t="s">
        <v>29</v>
      </c>
      <c r="BA37" s="32">
        <v>45</v>
      </c>
      <c r="BB37" s="32">
        <v>9.3884625733419297E-2</v>
      </c>
    </row>
    <row r="38" spans="1:54" ht="15.75" customHeight="1" x14ac:dyDescent="0.15">
      <c r="A38" s="1" t="s">
        <v>162</v>
      </c>
      <c r="B38" s="6">
        <v>82</v>
      </c>
      <c r="C38" s="6">
        <f>IF(Form_Responses1[[#This Row],[gioi_tinh]]="Nữ", 0, 1)</f>
        <v>1</v>
      </c>
      <c r="D38" s="1" t="s">
        <v>26</v>
      </c>
      <c r="E38" s="6">
        <v>27.2</v>
      </c>
      <c r="F38" s="6">
        <f>IF(Form_Responses1[[#This Row],[dai_thao_duong]]="Không", 0, 1)</f>
        <v>0</v>
      </c>
      <c r="G38" s="1" t="s">
        <v>21</v>
      </c>
      <c r="H38" s="6">
        <f t="shared" si="0"/>
        <v>1</v>
      </c>
      <c r="I38" s="1" t="s">
        <v>22</v>
      </c>
      <c r="J38" s="6">
        <f>IF(Form_Responses1[[#This Row],[hoi_chung_vanh_man]]="Không", 0, 1)</f>
        <v>0</v>
      </c>
      <c r="K38" s="1" t="s">
        <v>21</v>
      </c>
      <c r="L38" s="6">
        <f>IF(Form_Responses1[[#This Row],[ckd]]="Không", 0, 1)</f>
        <v>0</v>
      </c>
      <c r="M38" s="1" t="s">
        <v>21</v>
      </c>
      <c r="N38" s="6">
        <f t="shared" si="1"/>
        <v>0</v>
      </c>
      <c r="O38" s="1" t="s">
        <v>21</v>
      </c>
      <c r="P38" s="6">
        <f>IF(Form_Responses1[[#This Row],[phan_loai_the_lam_sang]]="Suy tim mất bù cấp", 1,0)</f>
        <v>1</v>
      </c>
      <c r="Q38" s="6">
        <f>IF(Form_Responses1[[#This Row],[phan_loai_the_lam_sang]]="Phù phổi cấp", 1, 0)</f>
        <v>0</v>
      </c>
      <c r="R38" s="6">
        <f>IF(Form_Responses1[[#This Row],[phan_loai_the_lam_sang]]="Choáng tim", 1, 0)</f>
        <v>0</v>
      </c>
      <c r="S38" s="1" t="s">
        <v>23</v>
      </c>
      <c r="T38" s="6">
        <v>86</v>
      </c>
      <c r="U38" s="6">
        <v>130</v>
      </c>
      <c r="V38" s="6">
        <v>90</v>
      </c>
      <c r="W38" s="6">
        <f>IF(Form_Responses1[[#This Row],[hcvc]]="Không", 0, 1)</f>
        <v>0</v>
      </c>
      <c r="X38" s="1" t="s">
        <v>21</v>
      </c>
      <c r="Y38" s="6">
        <f>IF(Form_Responses1[[#This Row],[suy_ho_hap]]="Không", 0, 1)</f>
        <v>0</v>
      </c>
      <c r="Z38" s="1" t="s">
        <v>21</v>
      </c>
      <c r="AA38" s="6">
        <f>IF(Form_Responses1[[#This Row],[rung_nhi]]="Không", 0, 1)</f>
        <v>1</v>
      </c>
      <c r="AB38" s="1" t="s">
        <v>22</v>
      </c>
      <c r="AC38" s="6">
        <v>474</v>
      </c>
      <c r="AD38" s="6">
        <v>0.13</v>
      </c>
      <c r="AE38" s="6">
        <v>4.2300000000000004</v>
      </c>
      <c r="AF38" s="6">
        <v>78</v>
      </c>
      <c r="AG38" s="6">
        <v>191</v>
      </c>
      <c r="AH38" s="6">
        <v>137</v>
      </c>
      <c r="AI38" s="6">
        <v>3.1</v>
      </c>
      <c r="AJ38" s="6">
        <v>8.4</v>
      </c>
      <c r="AK38" s="6">
        <v>1.29</v>
      </c>
      <c r="AL38" s="1" t="s">
        <v>21</v>
      </c>
      <c r="AM38" s="1">
        <v>2874.4</v>
      </c>
      <c r="AN38" s="6">
        <f>IF(Form_Responses1[[#This Row],[NT_proBNP &gt; 35000]]="Có", 35001, Form_Responses1[[#This Row],[NT_ProBNP]])</f>
        <v>2874.4</v>
      </c>
      <c r="AO38" s="6">
        <f>IF(Form_Responses1[[#This Row],[NT_proBNP &gt; 35000]]="Có", 1, 0)</f>
        <v>0</v>
      </c>
      <c r="AP38" s="6">
        <v>105.5</v>
      </c>
      <c r="AQ38" s="6">
        <v>40</v>
      </c>
      <c r="AR38" s="6">
        <v>25</v>
      </c>
      <c r="AS38" s="19"/>
      <c r="AT38" s="27">
        <v>52</v>
      </c>
      <c r="AU38" s="6">
        <v>34</v>
      </c>
      <c r="AV38" s="6">
        <v>49</v>
      </c>
      <c r="AW38" s="6">
        <v>57</v>
      </c>
      <c r="AX38" s="6">
        <v>45</v>
      </c>
      <c r="AY38" s="24">
        <f>IF(Form_Responses1[[#This Row],[ket_cuc]]="Không tử vong", 0, 1)</f>
        <v>0</v>
      </c>
      <c r="AZ38" s="1" t="s">
        <v>24</v>
      </c>
      <c r="BA38" s="32">
        <v>39</v>
      </c>
      <c r="BB38" s="32">
        <v>5.8320023417581156E-2</v>
      </c>
    </row>
    <row r="39" spans="1:54" ht="15.75" customHeight="1" x14ac:dyDescent="0.15">
      <c r="A39" s="2" t="s">
        <v>279</v>
      </c>
      <c r="B39" s="15">
        <v>36</v>
      </c>
      <c r="C39" s="15">
        <f>IF(Form_Responses1[[#This Row],[gioi_tinh]]="Nữ", 0, 1)</f>
        <v>1</v>
      </c>
      <c r="D39" s="2" t="s">
        <v>26</v>
      </c>
      <c r="E39" s="15">
        <v>23.2</v>
      </c>
      <c r="F39" s="15">
        <f>IF(Form_Responses1[[#This Row],[dai_thao_duong]]="Không", 0, 1)</f>
        <v>0</v>
      </c>
      <c r="G39" s="2" t="s">
        <v>21</v>
      </c>
      <c r="H39" s="15">
        <f t="shared" si="0"/>
        <v>0</v>
      </c>
      <c r="I39" s="2" t="s">
        <v>21</v>
      </c>
      <c r="J39" s="15">
        <f>IF(Form_Responses1[[#This Row],[hoi_chung_vanh_man]]="Không", 0, 1)</f>
        <v>0</v>
      </c>
      <c r="K39" s="2" t="s">
        <v>21</v>
      </c>
      <c r="L39" s="15">
        <f>IF(Form_Responses1[[#This Row],[ckd]]="Không", 0, 1)</f>
        <v>0</v>
      </c>
      <c r="M39" s="2" t="s">
        <v>21</v>
      </c>
      <c r="N39" s="15">
        <f t="shared" si="1"/>
        <v>0</v>
      </c>
      <c r="O39" s="2" t="s">
        <v>21</v>
      </c>
      <c r="P39" s="15">
        <f>IF(Form_Responses1[[#This Row],[phan_loai_the_lam_sang]]="Suy tim mất bù cấp", 1,0)</f>
        <v>0</v>
      </c>
      <c r="Q39" s="15">
        <f>IF(Form_Responses1[[#This Row],[phan_loai_the_lam_sang]]="Phù phổi cấp", 1, 0)</f>
        <v>1</v>
      </c>
      <c r="R39" s="15">
        <f>IF(Form_Responses1[[#This Row],[phan_loai_the_lam_sang]]="Choáng tim", 1, 0)</f>
        <v>0</v>
      </c>
      <c r="S39" s="2" t="s">
        <v>45</v>
      </c>
      <c r="T39" s="15">
        <v>146</v>
      </c>
      <c r="U39" s="15">
        <v>120</v>
      </c>
      <c r="V39" s="15">
        <v>80</v>
      </c>
      <c r="W39" s="15">
        <f>IF(Form_Responses1[[#This Row],[hcvc]]="Không", 0, 1)</f>
        <v>0</v>
      </c>
      <c r="X39" s="2" t="s">
        <v>21</v>
      </c>
      <c r="Y39" s="15">
        <f>IF(Form_Responses1[[#This Row],[suy_ho_hap]]="Không", 0, 1)</f>
        <v>1</v>
      </c>
      <c r="Z39" s="2" t="s">
        <v>22</v>
      </c>
      <c r="AA39" s="15">
        <f>IF(Form_Responses1[[#This Row],[rung_nhi]]="Không", 0, 1)</f>
        <v>0</v>
      </c>
      <c r="AB39" s="2" t="s">
        <v>21</v>
      </c>
      <c r="AC39" s="15">
        <v>358</v>
      </c>
      <c r="AD39" s="15">
        <v>0.11</v>
      </c>
      <c r="AE39" s="15">
        <v>18.3</v>
      </c>
      <c r="AF39" s="15">
        <v>120</v>
      </c>
      <c r="AG39" s="15">
        <v>165</v>
      </c>
      <c r="AH39" s="15">
        <v>129</v>
      </c>
      <c r="AI39" s="15">
        <v>3.5</v>
      </c>
      <c r="AJ39" s="15">
        <v>31</v>
      </c>
      <c r="AK39" s="15">
        <v>1.91</v>
      </c>
      <c r="AL39" s="2" t="s">
        <v>21</v>
      </c>
      <c r="AM39" s="2">
        <v>18790.560000000001</v>
      </c>
      <c r="AN39" s="6">
        <f>IF(Form_Responses1[[#This Row],[NT_proBNP &gt; 35000]]="Có", 35001, Form_Responses1[[#This Row],[NT_ProBNP]])</f>
        <v>18790.560000000001</v>
      </c>
      <c r="AO39" s="15">
        <f>IF(Form_Responses1[[#This Row],[NT_proBNP &gt; 35000]]="Có", 1, 0)</f>
        <v>0</v>
      </c>
      <c r="AP39" s="15">
        <v>146.08000000000001</v>
      </c>
      <c r="AQ39" s="15">
        <v>30</v>
      </c>
      <c r="AR39" s="15">
        <v>15</v>
      </c>
      <c r="AS39" s="15">
        <v>100</v>
      </c>
      <c r="AT39" s="15">
        <v>53</v>
      </c>
      <c r="AU39" s="15">
        <v>34</v>
      </c>
      <c r="AV39" s="15">
        <v>49</v>
      </c>
      <c r="AW39" s="15">
        <v>57</v>
      </c>
      <c r="AX39" s="15">
        <v>58</v>
      </c>
      <c r="AY39" s="22">
        <f>IF(Form_Responses1[[#This Row],[ket_cuc]]="Không tử vong", 0, 1)</f>
        <v>0</v>
      </c>
      <c r="AZ39" s="2" t="s">
        <v>24</v>
      </c>
      <c r="BA39" s="32">
        <v>42</v>
      </c>
      <c r="BB39" s="32">
        <v>6.602599979869965E-2</v>
      </c>
    </row>
    <row r="40" spans="1:54" ht="15.75" customHeight="1" x14ac:dyDescent="0.15">
      <c r="A40" s="1" t="s">
        <v>36</v>
      </c>
      <c r="B40" s="6">
        <v>41</v>
      </c>
      <c r="C40" s="6">
        <f>IF(Form_Responses1[[#This Row],[gioi_tinh]]="Nữ", 0, 1)</f>
        <v>0</v>
      </c>
      <c r="D40" s="1" t="s">
        <v>20</v>
      </c>
      <c r="E40" s="6">
        <v>24.2</v>
      </c>
      <c r="F40" s="6">
        <f>IF(Form_Responses1[[#This Row],[dai_thao_duong]]="Không", 0, 1)</f>
        <v>0</v>
      </c>
      <c r="G40" s="1" t="s">
        <v>21</v>
      </c>
      <c r="H40" s="6">
        <f t="shared" si="0"/>
        <v>0</v>
      </c>
      <c r="I40" s="1" t="s">
        <v>21</v>
      </c>
      <c r="J40" s="6">
        <f>IF(Form_Responses1[[#This Row],[hoi_chung_vanh_man]]="Không", 0, 1)</f>
        <v>0</v>
      </c>
      <c r="K40" s="1" t="s">
        <v>21</v>
      </c>
      <c r="L40" s="6">
        <f>IF(Form_Responses1[[#This Row],[ckd]]="Không", 0, 1)</f>
        <v>0</v>
      </c>
      <c r="M40" s="1" t="s">
        <v>21</v>
      </c>
      <c r="N40" s="6">
        <f t="shared" si="1"/>
        <v>0</v>
      </c>
      <c r="O40" s="1" t="s">
        <v>21</v>
      </c>
      <c r="P40" s="6">
        <f>IF(Form_Responses1[[#This Row],[phan_loai_the_lam_sang]]="Suy tim mất bù cấp", 1,0)</f>
        <v>0</v>
      </c>
      <c r="Q40" s="6">
        <f>IF(Form_Responses1[[#This Row],[phan_loai_the_lam_sang]]="Phù phổi cấp", 1, 0)</f>
        <v>0</v>
      </c>
      <c r="R40" s="6">
        <f>IF(Form_Responses1[[#This Row],[phan_loai_the_lam_sang]]="Choáng tim", 1, 0)</f>
        <v>1</v>
      </c>
      <c r="S40" s="1" t="s">
        <v>28</v>
      </c>
      <c r="T40" s="6">
        <v>150</v>
      </c>
      <c r="U40" s="6">
        <v>130</v>
      </c>
      <c r="V40" s="6">
        <v>100</v>
      </c>
      <c r="W40" s="6">
        <f>IF(Form_Responses1[[#This Row],[hcvc]]="Không", 0, 1)</f>
        <v>0</v>
      </c>
      <c r="X40" s="1" t="s">
        <v>21</v>
      </c>
      <c r="Y40" s="6">
        <f>IF(Form_Responses1[[#This Row],[suy_ho_hap]]="Không", 0, 1)</f>
        <v>1</v>
      </c>
      <c r="Z40" s="1" t="s">
        <v>22</v>
      </c>
      <c r="AA40" s="6">
        <f>IF(Form_Responses1[[#This Row],[rung_nhi]]="Không", 0, 1)</f>
        <v>1</v>
      </c>
      <c r="AB40" s="1" t="s">
        <v>22</v>
      </c>
      <c r="AC40" s="6">
        <v>441</v>
      </c>
      <c r="AD40" s="6">
        <v>0.06</v>
      </c>
      <c r="AE40" s="6">
        <v>13.77</v>
      </c>
      <c r="AF40" s="6">
        <v>129</v>
      </c>
      <c r="AG40" s="6">
        <v>341</v>
      </c>
      <c r="AH40" s="6">
        <v>125</v>
      </c>
      <c r="AI40" s="6">
        <v>5.3</v>
      </c>
      <c r="AJ40" s="6">
        <v>46</v>
      </c>
      <c r="AK40" s="6">
        <v>1.1399999999999999</v>
      </c>
      <c r="AL40" s="1" t="s">
        <v>21</v>
      </c>
      <c r="AM40" s="1">
        <v>32774.699999999997</v>
      </c>
      <c r="AN40" s="6">
        <f>IF(Form_Responses1[[#This Row],[NT_proBNP &gt; 35000]]="Có", 35001, Form_Responses1[[#This Row],[NT_ProBNP]])</f>
        <v>32774.699999999997</v>
      </c>
      <c r="AO40" s="27">
        <f>IF(Form_Responses1[[#This Row],[NT_proBNP &gt; 35000]]="Có", 1, 0)</f>
        <v>0</v>
      </c>
      <c r="AQ40" s="6">
        <v>918</v>
      </c>
      <c r="AR40" s="6">
        <v>720</v>
      </c>
      <c r="AS40" s="6">
        <v>109</v>
      </c>
      <c r="AT40" s="6">
        <v>42</v>
      </c>
      <c r="AU40" s="6">
        <v>27.3</v>
      </c>
      <c r="AV40" s="6">
        <v>38.799999999999997</v>
      </c>
      <c r="AW40" s="6">
        <v>57</v>
      </c>
      <c r="AX40" s="6">
        <v>90</v>
      </c>
      <c r="AY40" s="24">
        <f>IF(Form_Responses1[[#This Row],[ket_cuc]]="Không tử vong", 0, 1)</f>
        <v>1</v>
      </c>
      <c r="AZ40" s="1" t="s">
        <v>29</v>
      </c>
      <c r="BA40" s="32">
        <v>44</v>
      </c>
      <c r="BB40" s="32">
        <v>7.4536896971794483E-2</v>
      </c>
    </row>
    <row r="41" spans="1:54" ht="15.75" customHeight="1" x14ac:dyDescent="0.15">
      <c r="A41" s="2" t="s">
        <v>262</v>
      </c>
      <c r="B41" s="15">
        <v>54</v>
      </c>
      <c r="C41" s="15">
        <f>IF(Form_Responses1[[#This Row],[gioi_tinh]]="Nữ", 0, 1)</f>
        <v>0</v>
      </c>
      <c r="D41" s="2" t="s">
        <v>20</v>
      </c>
      <c r="E41" s="15">
        <v>22.2</v>
      </c>
      <c r="F41" s="15">
        <f>IF(Form_Responses1[[#This Row],[dai_thao_duong]]="Không", 0, 1)</f>
        <v>0</v>
      </c>
      <c r="G41" s="2" t="s">
        <v>21</v>
      </c>
      <c r="H41" s="15">
        <f t="shared" si="0"/>
        <v>0</v>
      </c>
      <c r="I41" s="2" t="s">
        <v>21</v>
      </c>
      <c r="J41" s="15">
        <f>IF(Form_Responses1[[#This Row],[hoi_chung_vanh_man]]="Không", 0, 1)</f>
        <v>0</v>
      </c>
      <c r="K41" s="2" t="s">
        <v>21</v>
      </c>
      <c r="L41" s="15">
        <f>IF(Form_Responses1[[#This Row],[ckd]]="Không", 0, 1)</f>
        <v>0</v>
      </c>
      <c r="M41" s="2" t="s">
        <v>21</v>
      </c>
      <c r="N41" s="15">
        <f t="shared" si="1"/>
        <v>0</v>
      </c>
      <c r="O41" s="2" t="s">
        <v>21</v>
      </c>
      <c r="P41" s="15">
        <f>IF(Form_Responses1[[#This Row],[phan_loai_the_lam_sang]]="Suy tim mất bù cấp", 1,0)</f>
        <v>1</v>
      </c>
      <c r="Q41" s="15">
        <f>IF(Form_Responses1[[#This Row],[phan_loai_the_lam_sang]]="Phù phổi cấp", 1, 0)</f>
        <v>0</v>
      </c>
      <c r="R41" s="15">
        <f>IF(Form_Responses1[[#This Row],[phan_loai_the_lam_sang]]="Choáng tim", 1, 0)</f>
        <v>0</v>
      </c>
      <c r="S41" s="2" t="s">
        <v>23</v>
      </c>
      <c r="T41" s="15">
        <v>82</v>
      </c>
      <c r="U41" s="15">
        <v>160</v>
      </c>
      <c r="V41" s="15">
        <v>100</v>
      </c>
      <c r="W41" s="15">
        <f>IF(Form_Responses1[[#This Row],[hcvc]]="Không", 0, 1)</f>
        <v>0</v>
      </c>
      <c r="X41" s="2" t="s">
        <v>21</v>
      </c>
      <c r="Y41" s="15">
        <f>IF(Form_Responses1[[#This Row],[suy_ho_hap]]="Không", 0, 1)</f>
        <v>0</v>
      </c>
      <c r="Z41" s="2" t="s">
        <v>21</v>
      </c>
      <c r="AA41" s="15">
        <f>IF(Form_Responses1[[#This Row],[rung_nhi]]="Không", 0, 1)</f>
        <v>1</v>
      </c>
      <c r="AB41" s="2" t="s">
        <v>22</v>
      </c>
      <c r="AC41" s="15">
        <v>423</v>
      </c>
      <c r="AD41" s="15">
        <v>0.1</v>
      </c>
      <c r="AE41" s="15">
        <v>8</v>
      </c>
      <c r="AF41" s="15">
        <v>143</v>
      </c>
      <c r="AG41" s="15">
        <v>269</v>
      </c>
      <c r="AH41" s="15">
        <v>130</v>
      </c>
      <c r="AI41" s="15">
        <v>4.4000000000000004</v>
      </c>
      <c r="AJ41" s="15">
        <v>7.94</v>
      </c>
      <c r="AK41" s="15">
        <v>0.7</v>
      </c>
      <c r="AL41" s="2" t="s">
        <v>21</v>
      </c>
      <c r="AM41" s="2">
        <v>2924.42</v>
      </c>
      <c r="AN41" s="6">
        <f>IF(Form_Responses1[[#This Row],[NT_proBNP &gt; 35000]]="Có", 35001, Form_Responses1[[#This Row],[NT_ProBNP]])</f>
        <v>2924.42</v>
      </c>
      <c r="AO41" s="15">
        <f>IF(Form_Responses1[[#This Row],[NT_proBNP &gt; 35000]]="Có", 1, 0)</f>
        <v>0</v>
      </c>
      <c r="AP41" s="15">
        <v>25.9</v>
      </c>
      <c r="AQ41" s="15">
        <v>18</v>
      </c>
      <c r="AR41" s="15">
        <v>21</v>
      </c>
      <c r="AS41" s="15">
        <v>151</v>
      </c>
      <c r="AT41" s="27">
        <v>32</v>
      </c>
      <c r="AU41" s="15">
        <v>35</v>
      </c>
      <c r="AV41" s="15">
        <v>50</v>
      </c>
      <c r="AW41" s="15">
        <v>56</v>
      </c>
      <c r="AX41" s="18"/>
      <c r="AY41" s="26">
        <f>IF(Form_Responses1[[#This Row],[ket_cuc]]="Không tử vong", 0, 1)</f>
        <v>0</v>
      </c>
      <c r="AZ41" s="2" t="s">
        <v>24</v>
      </c>
      <c r="BA41" s="32">
        <v>27</v>
      </c>
      <c r="BB41" s="32">
        <v>2.0994597873673713E-2</v>
      </c>
    </row>
    <row r="42" spans="1:54" ht="15.75" customHeight="1" x14ac:dyDescent="0.15">
      <c r="A42" s="1" t="s">
        <v>188</v>
      </c>
      <c r="B42" s="6">
        <v>85</v>
      </c>
      <c r="C42" s="6">
        <f>IF(Form_Responses1[[#This Row],[gioi_tinh]]="Nữ", 0, 1)</f>
        <v>1</v>
      </c>
      <c r="D42" s="1" t="s">
        <v>26</v>
      </c>
      <c r="E42" s="6">
        <v>23.7</v>
      </c>
      <c r="F42" s="6">
        <f>IF(Form_Responses1[[#This Row],[dai_thao_duong]]="Không", 0, 1)</f>
        <v>0</v>
      </c>
      <c r="G42" s="1" t="s">
        <v>21</v>
      </c>
      <c r="H42" s="6">
        <f t="shared" si="0"/>
        <v>1</v>
      </c>
      <c r="I42" s="1" t="s">
        <v>22</v>
      </c>
      <c r="J42" s="6">
        <f>IF(Form_Responses1[[#This Row],[hoi_chung_vanh_man]]="Không", 0, 1)</f>
        <v>1</v>
      </c>
      <c r="K42" s="1" t="s">
        <v>22</v>
      </c>
      <c r="L42" s="6">
        <f>IF(Form_Responses1[[#This Row],[ckd]]="Không", 0, 1)</f>
        <v>0</v>
      </c>
      <c r="M42" s="1" t="s">
        <v>21</v>
      </c>
      <c r="N42" s="6">
        <f t="shared" si="1"/>
        <v>1</v>
      </c>
      <c r="O42" s="1" t="s">
        <v>22</v>
      </c>
      <c r="P42" s="6">
        <f>IF(Form_Responses1[[#This Row],[phan_loai_the_lam_sang]]="Suy tim mất bù cấp", 1,0)</f>
        <v>1</v>
      </c>
      <c r="Q42" s="6">
        <f>IF(Form_Responses1[[#This Row],[phan_loai_the_lam_sang]]="Phù phổi cấp", 1, 0)</f>
        <v>0</v>
      </c>
      <c r="R42" s="6">
        <f>IF(Form_Responses1[[#This Row],[phan_loai_the_lam_sang]]="Choáng tim", 1, 0)</f>
        <v>0</v>
      </c>
      <c r="S42" s="1" t="s">
        <v>23</v>
      </c>
      <c r="T42" s="6">
        <v>100</v>
      </c>
      <c r="U42" s="6">
        <v>130</v>
      </c>
      <c r="V42" s="6">
        <v>80</v>
      </c>
      <c r="W42" s="6">
        <f>IF(Form_Responses1[[#This Row],[hcvc]]="Không", 0, 1)</f>
        <v>0</v>
      </c>
      <c r="X42" s="1" t="s">
        <v>21</v>
      </c>
      <c r="Y42" s="6">
        <f>IF(Form_Responses1[[#This Row],[suy_ho_hap]]="Không", 0, 1)</f>
        <v>0</v>
      </c>
      <c r="Z42" s="1" t="s">
        <v>21</v>
      </c>
      <c r="AA42" s="6">
        <f>IF(Form_Responses1[[#This Row],[rung_nhi]]="Không", 0, 1)</f>
        <v>1</v>
      </c>
      <c r="AB42" s="1" t="s">
        <v>22</v>
      </c>
      <c r="AC42" s="6">
        <v>476</v>
      </c>
      <c r="AD42" s="6">
        <v>0.08</v>
      </c>
      <c r="AE42" s="6">
        <v>20.94</v>
      </c>
      <c r="AF42" s="6">
        <v>166</v>
      </c>
      <c r="AG42" s="6">
        <v>153</v>
      </c>
      <c r="AH42" s="6">
        <v>130</v>
      </c>
      <c r="AI42" s="6">
        <v>3.7</v>
      </c>
      <c r="AJ42" s="6">
        <v>34</v>
      </c>
      <c r="AK42" s="6">
        <v>1.96</v>
      </c>
      <c r="AL42" s="1" t="s">
        <v>21</v>
      </c>
      <c r="AM42" s="1">
        <v>3245.2</v>
      </c>
      <c r="AN42" s="6">
        <f>IF(Form_Responses1[[#This Row],[NT_proBNP &gt; 35000]]="Có", 35001, Form_Responses1[[#This Row],[NT_ProBNP]])</f>
        <v>3245.2</v>
      </c>
      <c r="AO42" s="6">
        <f>IF(Form_Responses1[[#This Row],[NT_proBNP &gt; 35000]]="Có", 1, 0)</f>
        <v>0</v>
      </c>
      <c r="AP42" s="6">
        <v>34.9</v>
      </c>
      <c r="AQ42" s="6">
        <v>22</v>
      </c>
      <c r="AR42" s="6">
        <v>20</v>
      </c>
      <c r="AS42" s="19"/>
      <c r="AT42" s="6">
        <v>34</v>
      </c>
      <c r="AU42" s="6">
        <v>28</v>
      </c>
      <c r="AV42" s="6">
        <v>39</v>
      </c>
      <c r="AW42" s="6">
        <v>56</v>
      </c>
      <c r="AX42" s="13"/>
      <c r="AY42" s="23">
        <f>IF(Form_Responses1[[#This Row],[ket_cuc]]="Không tử vong", 0, 1)</f>
        <v>0</v>
      </c>
      <c r="AZ42" s="1" t="s">
        <v>24</v>
      </c>
      <c r="BA42" s="32">
        <v>53</v>
      </c>
      <c r="BB42" s="32">
        <v>0.14464922182173795</v>
      </c>
    </row>
    <row r="43" spans="1:54" ht="15.75" customHeight="1" x14ac:dyDescent="0.15">
      <c r="A43" s="2" t="s">
        <v>187</v>
      </c>
      <c r="B43" s="15">
        <v>43</v>
      </c>
      <c r="C43" s="15">
        <f>IF(Form_Responses1[[#This Row],[gioi_tinh]]="Nữ", 0, 1)</f>
        <v>0</v>
      </c>
      <c r="D43" s="2" t="s">
        <v>20</v>
      </c>
      <c r="E43" s="15">
        <v>15.2</v>
      </c>
      <c r="F43" s="15">
        <f>IF(Form_Responses1[[#This Row],[dai_thao_duong]]="Không", 0, 1)</f>
        <v>0</v>
      </c>
      <c r="G43" s="2" t="s">
        <v>21</v>
      </c>
      <c r="H43" s="15">
        <f t="shared" si="0"/>
        <v>0</v>
      </c>
      <c r="I43" s="2" t="s">
        <v>21</v>
      </c>
      <c r="J43" s="15">
        <f>IF(Form_Responses1[[#This Row],[hoi_chung_vanh_man]]="Không", 0, 1)</f>
        <v>0</v>
      </c>
      <c r="K43" s="2" t="s">
        <v>21</v>
      </c>
      <c r="L43" s="15">
        <f>IF(Form_Responses1[[#This Row],[ckd]]="Không", 0, 1)</f>
        <v>0</v>
      </c>
      <c r="M43" s="2" t="s">
        <v>21</v>
      </c>
      <c r="N43" s="15">
        <f t="shared" si="1"/>
        <v>0</v>
      </c>
      <c r="O43" s="2" t="s">
        <v>21</v>
      </c>
      <c r="P43" s="15">
        <f>IF(Form_Responses1[[#This Row],[phan_loai_the_lam_sang]]="Suy tim mất bù cấp", 1,0)</f>
        <v>1</v>
      </c>
      <c r="Q43" s="15">
        <f>IF(Form_Responses1[[#This Row],[phan_loai_the_lam_sang]]="Phù phổi cấp", 1, 0)</f>
        <v>0</v>
      </c>
      <c r="R43" s="15">
        <f>IF(Form_Responses1[[#This Row],[phan_loai_the_lam_sang]]="Choáng tim", 1, 0)</f>
        <v>0</v>
      </c>
      <c r="S43" s="2" t="s">
        <v>23</v>
      </c>
      <c r="T43" s="15">
        <v>60</v>
      </c>
      <c r="U43" s="15">
        <v>110</v>
      </c>
      <c r="V43" s="15">
        <v>70</v>
      </c>
      <c r="W43" s="15">
        <f>IF(Form_Responses1[[#This Row],[hcvc]]="Không", 0, 1)</f>
        <v>0</v>
      </c>
      <c r="X43" s="2" t="s">
        <v>21</v>
      </c>
      <c r="Y43" s="15">
        <f>IF(Form_Responses1[[#This Row],[suy_ho_hap]]="Không", 0, 1)</f>
        <v>0</v>
      </c>
      <c r="Z43" s="2" t="s">
        <v>21</v>
      </c>
      <c r="AA43" s="15">
        <f>IF(Form_Responses1[[#This Row],[rung_nhi]]="Không", 0, 1)</f>
        <v>1</v>
      </c>
      <c r="AB43" s="2" t="s">
        <v>22</v>
      </c>
      <c r="AC43" s="15">
        <v>439</v>
      </c>
      <c r="AD43" s="15">
        <v>0.1</v>
      </c>
      <c r="AE43" s="15">
        <v>5.97</v>
      </c>
      <c r="AF43" s="15">
        <v>116</v>
      </c>
      <c r="AG43" s="15">
        <v>331</v>
      </c>
      <c r="AH43" s="15">
        <v>137</v>
      </c>
      <c r="AI43" s="15">
        <v>2.8</v>
      </c>
      <c r="AJ43" s="15">
        <v>13.1</v>
      </c>
      <c r="AK43" s="15">
        <v>0.7</v>
      </c>
      <c r="AL43" s="2" t="s">
        <v>21</v>
      </c>
      <c r="AM43" s="2">
        <v>2813.8</v>
      </c>
      <c r="AN43" s="6">
        <f>IF(Form_Responses1[[#This Row],[NT_proBNP &gt; 35000]]="Có", 35001, Form_Responses1[[#This Row],[NT_ProBNP]])</f>
        <v>2813.8</v>
      </c>
      <c r="AO43" s="15">
        <f>IF(Form_Responses1[[#This Row],[NT_proBNP &gt; 35000]]="Có", 1, 0)</f>
        <v>0</v>
      </c>
      <c r="AP43" s="18"/>
      <c r="AQ43" s="15">
        <v>47</v>
      </c>
      <c r="AR43" s="15">
        <v>28</v>
      </c>
      <c r="AS43" s="15">
        <v>128</v>
      </c>
      <c r="AT43" s="15">
        <v>51</v>
      </c>
      <c r="AU43" s="15">
        <v>26</v>
      </c>
      <c r="AV43" s="15">
        <v>48</v>
      </c>
      <c r="AW43" s="15">
        <v>56</v>
      </c>
      <c r="AX43" s="15">
        <v>91</v>
      </c>
      <c r="AY43" s="22">
        <f>IF(Form_Responses1[[#This Row],[ket_cuc]]="Không tử vong", 0, 1)</f>
        <v>0</v>
      </c>
      <c r="AZ43" s="2" t="s">
        <v>24</v>
      </c>
      <c r="BA43" s="32">
        <v>31</v>
      </c>
      <c r="BB43" s="32">
        <v>2.2712176890160942E-2</v>
      </c>
    </row>
    <row r="44" spans="1:54" ht="15.75" customHeight="1" x14ac:dyDescent="0.15">
      <c r="A44" s="1" t="s">
        <v>233</v>
      </c>
      <c r="B44" s="6">
        <v>61</v>
      </c>
      <c r="C44" s="6">
        <f>IF(Form_Responses1[[#This Row],[gioi_tinh]]="Nữ", 0, 1)</f>
        <v>1</v>
      </c>
      <c r="D44" s="1" t="s">
        <v>26</v>
      </c>
      <c r="E44" s="6">
        <v>29.7</v>
      </c>
      <c r="F44" s="6">
        <f>IF(Form_Responses1[[#This Row],[dai_thao_duong]]="Không", 0, 1)</f>
        <v>1</v>
      </c>
      <c r="G44" s="1" t="s">
        <v>22</v>
      </c>
      <c r="H44" s="6">
        <f t="shared" si="0"/>
        <v>1</v>
      </c>
      <c r="I44" s="1" t="s">
        <v>22</v>
      </c>
      <c r="J44" s="6">
        <f>IF(Form_Responses1[[#This Row],[hoi_chung_vanh_man]]="Không", 0, 1)</f>
        <v>0</v>
      </c>
      <c r="K44" s="1" t="s">
        <v>21</v>
      </c>
      <c r="L44" s="6">
        <f>IF(Form_Responses1[[#This Row],[ckd]]="Không", 0, 1)</f>
        <v>0</v>
      </c>
      <c r="M44" s="1" t="s">
        <v>21</v>
      </c>
      <c r="N44" s="6">
        <f t="shared" si="1"/>
        <v>0</v>
      </c>
      <c r="O44" s="1" t="s">
        <v>21</v>
      </c>
      <c r="P44" s="6">
        <f>IF(Form_Responses1[[#This Row],[phan_loai_the_lam_sang]]="Suy tim mất bù cấp", 1,0)</f>
        <v>0</v>
      </c>
      <c r="Q44" s="6">
        <f>IF(Form_Responses1[[#This Row],[phan_loai_the_lam_sang]]="Phù phổi cấp", 1, 0)</f>
        <v>1</v>
      </c>
      <c r="R44" s="6">
        <f>IF(Form_Responses1[[#This Row],[phan_loai_the_lam_sang]]="Choáng tim", 1, 0)</f>
        <v>0</v>
      </c>
      <c r="S44" s="1" t="s">
        <v>45</v>
      </c>
      <c r="T44" s="6">
        <v>74</v>
      </c>
      <c r="U44" s="6">
        <v>220</v>
      </c>
      <c r="V44" s="6">
        <v>120</v>
      </c>
      <c r="W44" s="6">
        <f>IF(Form_Responses1[[#This Row],[hcvc]]="Không", 0, 1)</f>
        <v>0</v>
      </c>
      <c r="X44" s="1" t="s">
        <v>21</v>
      </c>
      <c r="Y44" s="6">
        <f>IF(Form_Responses1[[#This Row],[suy_ho_hap]]="Không", 0, 1)</f>
        <v>1</v>
      </c>
      <c r="Z44" s="1" t="s">
        <v>22</v>
      </c>
      <c r="AA44" s="6">
        <f>IF(Form_Responses1[[#This Row],[rung_nhi]]="Không", 0, 1)</f>
        <v>0</v>
      </c>
      <c r="AB44" s="1" t="s">
        <v>21</v>
      </c>
      <c r="AC44" s="6">
        <v>390</v>
      </c>
      <c r="AD44" s="6">
        <v>0.06</v>
      </c>
      <c r="AE44" s="6">
        <v>9.1</v>
      </c>
      <c r="AF44" s="6">
        <v>95</v>
      </c>
      <c r="AG44" s="6">
        <v>310</v>
      </c>
      <c r="AH44" s="6">
        <v>137</v>
      </c>
      <c r="AI44" s="6">
        <v>3.1</v>
      </c>
      <c r="AJ44" s="6">
        <v>36</v>
      </c>
      <c r="AK44" s="6">
        <v>3.35</v>
      </c>
      <c r="AL44" s="1" t="s">
        <v>21</v>
      </c>
      <c r="AM44" s="28">
        <v>23154</v>
      </c>
      <c r="AN44" s="6">
        <f>IF(Form_Responses1[[#This Row],[NT_proBNP &gt; 35000]]="Có", 35001, Form_Responses1[[#This Row],[NT_ProBNP]])</f>
        <v>23154</v>
      </c>
      <c r="AO44" s="27">
        <f>IF(Form_Responses1[[#This Row],[NT_proBNP &gt; 35000]]="Có", 1, 0)</f>
        <v>0</v>
      </c>
      <c r="AP44" s="6">
        <v>80.099999999999994</v>
      </c>
      <c r="AQ44" s="6">
        <v>33</v>
      </c>
      <c r="AR44" s="6">
        <v>21</v>
      </c>
      <c r="AS44" s="6">
        <v>116</v>
      </c>
      <c r="AT44" s="13"/>
      <c r="AU44" s="6">
        <v>36.799999999999997</v>
      </c>
      <c r="AV44" s="6">
        <v>48.5</v>
      </c>
      <c r="AW44" s="6">
        <v>55</v>
      </c>
      <c r="AY44" s="25">
        <f>IF(Form_Responses1[[#This Row],[ket_cuc]]="Không tử vong", 0, 1)</f>
        <v>0</v>
      </c>
      <c r="AZ44" s="1" t="s">
        <v>24</v>
      </c>
      <c r="BA44" s="32">
        <v>24</v>
      </c>
      <c r="BB44" s="32">
        <v>2.8343627234377791E-2</v>
      </c>
    </row>
    <row r="45" spans="1:54" ht="15.75" customHeight="1" x14ac:dyDescent="0.15">
      <c r="A45" s="2" t="s">
        <v>221</v>
      </c>
      <c r="B45" s="15">
        <v>64</v>
      </c>
      <c r="C45" s="15">
        <f>IF(Form_Responses1[[#This Row],[gioi_tinh]]="Nữ", 0, 1)</f>
        <v>0</v>
      </c>
      <c r="D45" s="2" t="s">
        <v>20</v>
      </c>
      <c r="E45" s="15">
        <v>19.5</v>
      </c>
      <c r="F45" s="15">
        <f>IF(Form_Responses1[[#This Row],[dai_thao_duong]]="Không", 0, 1)</f>
        <v>1</v>
      </c>
      <c r="G45" s="2" t="s">
        <v>22</v>
      </c>
      <c r="H45" s="15">
        <f t="shared" si="0"/>
        <v>1</v>
      </c>
      <c r="I45" s="2" t="s">
        <v>22</v>
      </c>
      <c r="J45" s="15">
        <f>IF(Form_Responses1[[#This Row],[hoi_chung_vanh_man]]="Không", 0, 1)</f>
        <v>0</v>
      </c>
      <c r="K45" s="2" t="s">
        <v>21</v>
      </c>
      <c r="L45" s="15">
        <f>IF(Form_Responses1[[#This Row],[ckd]]="Không", 0, 1)</f>
        <v>0</v>
      </c>
      <c r="M45" s="2" t="s">
        <v>21</v>
      </c>
      <c r="N45" s="15">
        <f t="shared" si="1"/>
        <v>0</v>
      </c>
      <c r="O45" s="2" t="s">
        <v>21</v>
      </c>
      <c r="P45" s="15">
        <f>IF(Form_Responses1[[#This Row],[phan_loai_the_lam_sang]]="Suy tim mất bù cấp", 1,0)</f>
        <v>1</v>
      </c>
      <c r="Q45" s="15">
        <f>IF(Form_Responses1[[#This Row],[phan_loai_the_lam_sang]]="Phù phổi cấp", 1, 0)</f>
        <v>0</v>
      </c>
      <c r="R45" s="15">
        <f>IF(Form_Responses1[[#This Row],[phan_loai_the_lam_sang]]="Choáng tim", 1, 0)</f>
        <v>0</v>
      </c>
      <c r="S45" s="2" t="s">
        <v>23</v>
      </c>
      <c r="T45" s="15">
        <v>86</v>
      </c>
      <c r="U45" s="15">
        <v>120</v>
      </c>
      <c r="V45" s="15">
        <v>80</v>
      </c>
      <c r="W45" s="15">
        <f>IF(Form_Responses1[[#This Row],[hcvc]]="Không", 0, 1)</f>
        <v>0</v>
      </c>
      <c r="X45" s="2" t="s">
        <v>21</v>
      </c>
      <c r="Y45" s="15">
        <f>IF(Form_Responses1[[#This Row],[suy_ho_hap]]="Không", 0, 1)</f>
        <v>1</v>
      </c>
      <c r="Z45" s="2" t="s">
        <v>22</v>
      </c>
      <c r="AA45" s="15">
        <f>IF(Form_Responses1[[#This Row],[rung_nhi]]="Không", 0, 1)</f>
        <v>0</v>
      </c>
      <c r="AB45" s="2" t="s">
        <v>21</v>
      </c>
      <c r="AC45" s="15">
        <v>413</v>
      </c>
      <c r="AD45" s="15">
        <v>0.09</v>
      </c>
      <c r="AE45" s="15">
        <v>7.6</v>
      </c>
      <c r="AF45" s="15">
        <v>123</v>
      </c>
      <c r="AG45" s="15">
        <v>265</v>
      </c>
      <c r="AH45" s="15">
        <v>135</v>
      </c>
      <c r="AI45" s="15">
        <v>3.3</v>
      </c>
      <c r="AJ45" s="15">
        <v>18</v>
      </c>
      <c r="AK45" s="15">
        <v>0.89</v>
      </c>
      <c r="AL45" s="2" t="s">
        <v>21</v>
      </c>
      <c r="AM45" s="2">
        <v>3267.17</v>
      </c>
      <c r="AN45" s="6">
        <f>IF(Form_Responses1[[#This Row],[NT_proBNP &gt; 35000]]="Có", 35001, Form_Responses1[[#This Row],[NT_ProBNP]])</f>
        <v>3267.17</v>
      </c>
      <c r="AO45" s="15">
        <f>IF(Form_Responses1[[#This Row],[NT_proBNP &gt; 35000]]="Có", 1, 0)</f>
        <v>0</v>
      </c>
      <c r="AP45" s="15">
        <v>399.25</v>
      </c>
      <c r="AQ45" s="15">
        <v>21</v>
      </c>
      <c r="AR45" s="15">
        <v>14</v>
      </c>
      <c r="AS45" s="15">
        <v>248</v>
      </c>
      <c r="AT45" s="15">
        <v>33</v>
      </c>
      <c r="AU45" s="15">
        <v>36</v>
      </c>
      <c r="AV45" s="15">
        <v>50.8</v>
      </c>
      <c r="AW45" s="15">
        <v>55</v>
      </c>
      <c r="AX45" s="15">
        <v>40</v>
      </c>
      <c r="AY45" s="22">
        <f>IF(Form_Responses1[[#This Row],[ket_cuc]]="Không tử vong", 0, 1)</f>
        <v>0</v>
      </c>
      <c r="AZ45" s="2" t="s">
        <v>24</v>
      </c>
      <c r="BA45" s="32">
        <v>39</v>
      </c>
      <c r="BB45" s="32">
        <v>5.1926636551344503E-2</v>
      </c>
    </row>
    <row r="46" spans="1:54" ht="15.75" customHeight="1" x14ac:dyDescent="0.15">
      <c r="A46" s="1" t="s">
        <v>215</v>
      </c>
      <c r="B46" s="6">
        <v>65</v>
      </c>
      <c r="C46" s="6">
        <f>IF(Form_Responses1[[#This Row],[gioi_tinh]]="Nữ", 0, 1)</f>
        <v>1</v>
      </c>
      <c r="D46" s="1" t="s">
        <v>26</v>
      </c>
      <c r="E46" s="6">
        <v>18.8</v>
      </c>
      <c r="F46" s="6">
        <f>IF(Form_Responses1[[#This Row],[dai_thao_duong]]="Không", 0, 1)</f>
        <v>0</v>
      </c>
      <c r="G46" s="1" t="s">
        <v>21</v>
      </c>
      <c r="H46" s="6">
        <f t="shared" si="0"/>
        <v>1</v>
      </c>
      <c r="I46" s="1" t="s">
        <v>22</v>
      </c>
      <c r="J46" s="6">
        <f>IF(Form_Responses1[[#This Row],[hoi_chung_vanh_man]]="Không", 0, 1)</f>
        <v>0</v>
      </c>
      <c r="K46" s="1" t="s">
        <v>21</v>
      </c>
      <c r="L46" s="6">
        <f>IF(Form_Responses1[[#This Row],[ckd]]="Không", 0, 1)</f>
        <v>0</v>
      </c>
      <c r="M46" s="1" t="s">
        <v>21</v>
      </c>
      <c r="N46" s="6">
        <f t="shared" si="1"/>
        <v>0</v>
      </c>
      <c r="O46" s="1" t="s">
        <v>21</v>
      </c>
      <c r="P46" s="6">
        <f>IF(Form_Responses1[[#This Row],[phan_loai_the_lam_sang]]="Suy tim mất bù cấp", 1,0)</f>
        <v>0</v>
      </c>
      <c r="Q46" s="6">
        <f>IF(Form_Responses1[[#This Row],[phan_loai_the_lam_sang]]="Phù phổi cấp", 1, 0)</f>
        <v>1</v>
      </c>
      <c r="R46" s="6">
        <f>IF(Form_Responses1[[#This Row],[phan_loai_the_lam_sang]]="Choáng tim", 1, 0)</f>
        <v>0</v>
      </c>
      <c r="S46" s="1" t="s">
        <v>45</v>
      </c>
      <c r="T46" s="6">
        <v>78</v>
      </c>
      <c r="U46" s="6">
        <v>140</v>
      </c>
      <c r="V46" s="6">
        <v>80</v>
      </c>
      <c r="W46" s="6">
        <f>IF(Form_Responses1[[#This Row],[hcvc]]="Không", 0, 1)</f>
        <v>0</v>
      </c>
      <c r="X46" s="1" t="s">
        <v>21</v>
      </c>
      <c r="Y46" s="6">
        <f>IF(Form_Responses1[[#This Row],[suy_ho_hap]]="Không", 0, 1)</f>
        <v>1</v>
      </c>
      <c r="Z46" s="1" t="s">
        <v>22</v>
      </c>
      <c r="AA46" s="6">
        <f>IF(Form_Responses1[[#This Row],[rung_nhi]]="Không", 0, 1)</f>
        <v>0</v>
      </c>
      <c r="AB46" s="1" t="s">
        <v>21</v>
      </c>
      <c r="AC46" s="6">
        <v>458</v>
      </c>
      <c r="AD46" s="6">
        <v>0.14000000000000001</v>
      </c>
      <c r="AE46" s="6">
        <v>11.35</v>
      </c>
      <c r="AF46" s="6">
        <v>92</v>
      </c>
      <c r="AG46" s="6">
        <v>356</v>
      </c>
      <c r="AH46" s="6">
        <v>129</v>
      </c>
      <c r="AI46" s="6">
        <v>2.8</v>
      </c>
      <c r="AJ46" s="6">
        <v>24</v>
      </c>
      <c r="AK46" s="6">
        <v>1.18</v>
      </c>
      <c r="AL46" s="1" t="s">
        <v>21</v>
      </c>
      <c r="AM46" s="1">
        <v>6846</v>
      </c>
      <c r="AN46" s="6">
        <f>IF(Form_Responses1[[#This Row],[NT_proBNP &gt; 35000]]="Có", 35001, Form_Responses1[[#This Row],[NT_ProBNP]])</f>
        <v>6846</v>
      </c>
      <c r="AO46" s="6">
        <f>IF(Form_Responses1[[#This Row],[NT_proBNP &gt; 35000]]="Có", 1, 0)</f>
        <v>0</v>
      </c>
      <c r="AP46" s="6">
        <v>662.1</v>
      </c>
      <c r="AQ46" s="6">
        <v>78</v>
      </c>
      <c r="AR46" s="6">
        <v>56</v>
      </c>
      <c r="AS46" s="6">
        <v>196</v>
      </c>
      <c r="AT46" s="6">
        <v>45</v>
      </c>
      <c r="AU46" s="6">
        <v>33.6</v>
      </c>
      <c r="AV46" s="6">
        <v>48</v>
      </c>
      <c r="AW46" s="6">
        <v>55</v>
      </c>
      <c r="AX46" s="6">
        <v>84</v>
      </c>
      <c r="AY46" s="24">
        <f>IF(Form_Responses1[[#This Row],[ket_cuc]]="Không tử vong", 0, 1)</f>
        <v>0</v>
      </c>
      <c r="AZ46" s="1" t="s">
        <v>24</v>
      </c>
      <c r="BA46" s="32">
        <v>36</v>
      </c>
      <c r="BB46" s="32">
        <v>5.4505832762514174E-2</v>
      </c>
    </row>
    <row r="47" spans="1:54" ht="15.75" customHeight="1" x14ac:dyDescent="0.15">
      <c r="A47" s="2" t="s">
        <v>174</v>
      </c>
      <c r="B47" s="15">
        <v>78</v>
      </c>
      <c r="C47" s="15">
        <f>IF(Form_Responses1[[#This Row],[gioi_tinh]]="Nữ", 0, 1)</f>
        <v>0</v>
      </c>
      <c r="D47" s="2" t="s">
        <v>20</v>
      </c>
      <c r="E47" s="15">
        <v>19.100000000000001</v>
      </c>
      <c r="F47" s="15">
        <f>IF(Form_Responses1[[#This Row],[dai_thao_duong]]="Không", 0, 1)</f>
        <v>0</v>
      </c>
      <c r="G47" s="2" t="s">
        <v>21</v>
      </c>
      <c r="H47" s="15">
        <f t="shared" si="0"/>
        <v>0</v>
      </c>
      <c r="I47" s="2" t="s">
        <v>21</v>
      </c>
      <c r="J47" s="15">
        <f>IF(Form_Responses1[[#This Row],[hoi_chung_vanh_man]]="Không", 0, 1)</f>
        <v>0</v>
      </c>
      <c r="K47" s="2" t="s">
        <v>21</v>
      </c>
      <c r="L47" s="15">
        <f>IF(Form_Responses1[[#This Row],[ckd]]="Không", 0, 1)</f>
        <v>0</v>
      </c>
      <c r="M47" s="2" t="s">
        <v>21</v>
      </c>
      <c r="N47" s="15">
        <f t="shared" si="1"/>
        <v>0</v>
      </c>
      <c r="O47" s="2" t="s">
        <v>21</v>
      </c>
      <c r="P47" s="15">
        <f>IF(Form_Responses1[[#This Row],[phan_loai_the_lam_sang]]="Suy tim mất bù cấp", 1,0)</f>
        <v>1</v>
      </c>
      <c r="Q47" s="15">
        <f>IF(Form_Responses1[[#This Row],[phan_loai_the_lam_sang]]="Phù phổi cấp", 1, 0)</f>
        <v>0</v>
      </c>
      <c r="R47" s="15">
        <f>IF(Form_Responses1[[#This Row],[phan_loai_the_lam_sang]]="Choáng tim", 1, 0)</f>
        <v>0</v>
      </c>
      <c r="S47" s="2" t="s">
        <v>23</v>
      </c>
      <c r="T47" s="15">
        <v>100</v>
      </c>
      <c r="U47" s="15">
        <v>90</v>
      </c>
      <c r="V47" s="15">
        <v>60</v>
      </c>
      <c r="W47" s="15">
        <f>IF(Form_Responses1[[#This Row],[hcvc]]="Không", 0, 1)</f>
        <v>0</v>
      </c>
      <c r="X47" s="2" t="s">
        <v>21</v>
      </c>
      <c r="Y47" s="15">
        <f>IF(Form_Responses1[[#This Row],[suy_ho_hap]]="Không", 0, 1)</f>
        <v>1</v>
      </c>
      <c r="Z47" s="2" t="s">
        <v>22</v>
      </c>
      <c r="AA47" s="15">
        <f>IF(Form_Responses1[[#This Row],[rung_nhi]]="Không", 0, 1)</f>
        <v>1</v>
      </c>
      <c r="AB47" s="2" t="s">
        <v>22</v>
      </c>
      <c r="AC47" s="15">
        <v>454</v>
      </c>
      <c r="AD47" s="15">
        <v>0.08</v>
      </c>
      <c r="AE47" s="15">
        <v>12.42</v>
      </c>
      <c r="AF47" s="15">
        <v>121</v>
      </c>
      <c r="AG47" s="15">
        <v>134</v>
      </c>
      <c r="AH47" s="15">
        <v>130</v>
      </c>
      <c r="AI47" s="15">
        <v>3.2</v>
      </c>
      <c r="AJ47" s="15">
        <v>6</v>
      </c>
      <c r="AK47" s="15">
        <v>0.5</v>
      </c>
      <c r="AL47" s="2" t="s">
        <v>21</v>
      </c>
      <c r="AM47" s="2">
        <v>2078</v>
      </c>
      <c r="AN47" s="6">
        <f>IF(Form_Responses1[[#This Row],[NT_proBNP &gt; 35000]]="Có", 35001, Form_Responses1[[#This Row],[NT_ProBNP]])</f>
        <v>2078</v>
      </c>
      <c r="AO47" s="27">
        <f>IF(Form_Responses1[[#This Row],[NT_proBNP &gt; 35000]]="Có", 1, 0)</f>
        <v>0</v>
      </c>
      <c r="AP47" s="27">
        <v>5.5</v>
      </c>
      <c r="AQ47" s="15">
        <v>76</v>
      </c>
      <c r="AR47" s="15">
        <v>29</v>
      </c>
      <c r="AS47" s="15">
        <v>108</v>
      </c>
      <c r="AT47" s="18"/>
      <c r="AU47" s="18"/>
      <c r="AV47" s="18"/>
      <c r="AW47" s="15">
        <v>54</v>
      </c>
      <c r="AX47" s="27">
        <v>55</v>
      </c>
      <c r="AY47" s="29">
        <f>IF(Form_Responses1[[#This Row],[ket_cuc]]="Không tử vong", 0, 1)</f>
        <v>0</v>
      </c>
      <c r="AZ47" s="2" t="s">
        <v>24</v>
      </c>
      <c r="BA47" s="32">
        <v>51</v>
      </c>
      <c r="BB47" s="32">
        <v>0.10079702013438553</v>
      </c>
    </row>
    <row r="48" spans="1:54" ht="13" x14ac:dyDescent="0.15">
      <c r="A48" s="1" t="s">
        <v>309</v>
      </c>
      <c r="B48" s="6">
        <v>50</v>
      </c>
      <c r="C48" s="6">
        <f>IF(Form_Responses1[[#This Row],[gioi_tinh]]="Nữ", 0, 1)</f>
        <v>0</v>
      </c>
      <c r="D48" s="1" t="s">
        <v>20</v>
      </c>
      <c r="E48" s="6">
        <v>26.2</v>
      </c>
      <c r="F48" s="6">
        <f>IF(Form_Responses1[[#This Row],[dai_thao_duong]]="Không", 0, 1)</f>
        <v>0</v>
      </c>
      <c r="G48" s="1" t="s">
        <v>21</v>
      </c>
      <c r="H48" s="6">
        <f t="shared" si="0"/>
        <v>1</v>
      </c>
      <c r="I48" s="1" t="s">
        <v>22</v>
      </c>
      <c r="J48" s="6">
        <f>IF(Form_Responses1[[#This Row],[hoi_chung_vanh_man]]="Không", 0, 1)</f>
        <v>0</v>
      </c>
      <c r="K48" s="1" t="s">
        <v>21</v>
      </c>
      <c r="L48" s="6">
        <f>IF(Form_Responses1[[#This Row],[ckd]]="Không", 0, 1)</f>
        <v>1</v>
      </c>
      <c r="M48" s="1" t="s">
        <v>22</v>
      </c>
      <c r="N48" s="6">
        <f t="shared" si="1"/>
        <v>0</v>
      </c>
      <c r="O48" s="1" t="s">
        <v>21</v>
      </c>
      <c r="P48" s="6">
        <f>IF(Form_Responses1[[#This Row],[phan_loai_the_lam_sang]]="Suy tim mất bù cấp", 1,0)</f>
        <v>1</v>
      </c>
      <c r="Q48" s="6">
        <f>IF(Form_Responses1[[#This Row],[phan_loai_the_lam_sang]]="Phù phổi cấp", 1, 0)</f>
        <v>0</v>
      </c>
      <c r="R48" s="6">
        <f>IF(Form_Responses1[[#This Row],[phan_loai_the_lam_sang]]="Choáng tim", 1, 0)</f>
        <v>0</v>
      </c>
      <c r="S48" s="1" t="s">
        <v>23</v>
      </c>
      <c r="T48" s="6">
        <v>104</v>
      </c>
      <c r="U48" s="6">
        <v>150</v>
      </c>
      <c r="V48" s="6">
        <v>80</v>
      </c>
      <c r="W48" s="6">
        <f>IF(Form_Responses1[[#This Row],[hcvc]]="Không", 0, 1)</f>
        <v>0</v>
      </c>
      <c r="X48" s="1" t="s">
        <v>21</v>
      </c>
      <c r="Y48" s="6">
        <f>IF(Form_Responses1[[#This Row],[suy_ho_hap]]="Không", 0, 1)</f>
        <v>1</v>
      </c>
      <c r="Z48" s="1" t="s">
        <v>22</v>
      </c>
      <c r="AA48" s="6">
        <f>IF(Form_Responses1[[#This Row],[rung_nhi]]="Không", 0, 1)</f>
        <v>0</v>
      </c>
      <c r="AB48" s="1" t="s">
        <v>21</v>
      </c>
      <c r="AC48" s="6">
        <v>465</v>
      </c>
      <c r="AD48" s="6">
        <v>0.1</v>
      </c>
      <c r="AE48" s="6">
        <v>3.33</v>
      </c>
      <c r="AF48" s="6">
        <v>63</v>
      </c>
      <c r="AG48" s="6">
        <v>188</v>
      </c>
      <c r="AH48" s="6">
        <v>135</v>
      </c>
      <c r="AI48" s="6">
        <v>3.7</v>
      </c>
      <c r="AJ48" s="6">
        <v>15</v>
      </c>
      <c r="AK48" s="6">
        <v>8.08</v>
      </c>
      <c r="AL48" s="1" t="s">
        <v>22</v>
      </c>
      <c r="AM48" s="10"/>
      <c r="AN48" s="6">
        <f>IF(Form_Responses1[[#This Row],[NT_proBNP &gt; 35000]]="Có", 35001, Form_Responses1[[#This Row],[NT_ProBNP]])</f>
        <v>35001</v>
      </c>
      <c r="AO48" s="13">
        <f>IF(Form_Responses1[[#This Row],[NT_proBNP &gt; 35000]]="Có", 1, 0)</f>
        <v>1</v>
      </c>
      <c r="AP48" s="6">
        <v>37.64</v>
      </c>
      <c r="AQ48" s="6">
        <v>20</v>
      </c>
      <c r="AR48" s="6">
        <v>25</v>
      </c>
      <c r="AS48" s="6">
        <v>158</v>
      </c>
      <c r="AT48" s="6">
        <v>37</v>
      </c>
      <c r="AU48" s="6">
        <v>39</v>
      </c>
      <c r="AV48" s="6">
        <v>57</v>
      </c>
      <c r="AW48" s="6">
        <v>54</v>
      </c>
      <c r="AX48" s="27">
        <v>52</v>
      </c>
      <c r="AY48" s="29">
        <f>IF(Form_Responses1[[#This Row],[ket_cuc]]="Không tử vong", 0, 1)</f>
        <v>0</v>
      </c>
      <c r="AZ48" s="1" t="s">
        <v>24</v>
      </c>
      <c r="BA48" s="32">
        <v>33</v>
      </c>
      <c r="BB48" s="32">
        <v>4.1662442854741494E-2</v>
      </c>
    </row>
    <row r="49" spans="1:54" ht="13" x14ac:dyDescent="0.15">
      <c r="A49" s="2" t="s">
        <v>139</v>
      </c>
      <c r="B49" s="15">
        <v>49</v>
      </c>
      <c r="C49" s="15">
        <f>IF(Form_Responses1[[#This Row],[gioi_tinh]]="Nữ", 0, 1)</f>
        <v>1</v>
      </c>
      <c r="D49" s="2" t="s">
        <v>26</v>
      </c>
      <c r="E49" s="15">
        <v>21.9</v>
      </c>
      <c r="F49" s="15">
        <f>IF(Form_Responses1[[#This Row],[dai_thao_duong]]="Không", 0, 1)</f>
        <v>0</v>
      </c>
      <c r="G49" s="2" t="s">
        <v>21</v>
      </c>
      <c r="H49" s="15">
        <f t="shared" si="0"/>
        <v>1</v>
      </c>
      <c r="I49" s="2" t="s">
        <v>22</v>
      </c>
      <c r="J49" s="15">
        <f>IF(Form_Responses1[[#This Row],[hoi_chung_vanh_man]]="Không", 0, 1)</f>
        <v>0</v>
      </c>
      <c r="K49" s="2" t="s">
        <v>21</v>
      </c>
      <c r="L49" s="15">
        <f>IF(Form_Responses1[[#This Row],[ckd]]="Không", 0, 1)</f>
        <v>0</v>
      </c>
      <c r="M49" s="2" t="s">
        <v>21</v>
      </c>
      <c r="N49" s="15">
        <f t="shared" si="1"/>
        <v>0</v>
      </c>
      <c r="O49" s="2" t="s">
        <v>21</v>
      </c>
      <c r="P49" s="15">
        <f>IF(Form_Responses1[[#This Row],[phan_loai_the_lam_sang]]="Suy tim mất bù cấp", 1,0)</f>
        <v>1</v>
      </c>
      <c r="Q49" s="15">
        <f>IF(Form_Responses1[[#This Row],[phan_loai_the_lam_sang]]="Phù phổi cấp", 1, 0)</f>
        <v>0</v>
      </c>
      <c r="R49" s="15">
        <f>IF(Form_Responses1[[#This Row],[phan_loai_the_lam_sang]]="Choáng tim", 1, 0)</f>
        <v>0</v>
      </c>
      <c r="S49" s="2" t="s">
        <v>23</v>
      </c>
      <c r="T49" s="15">
        <v>62</v>
      </c>
      <c r="U49" s="15">
        <v>160</v>
      </c>
      <c r="V49" s="15">
        <v>80</v>
      </c>
      <c r="W49" s="15">
        <f>IF(Form_Responses1[[#This Row],[hcvc]]="Không", 0, 1)</f>
        <v>0</v>
      </c>
      <c r="X49" s="2" t="s">
        <v>21</v>
      </c>
      <c r="Y49" s="15">
        <f>IF(Form_Responses1[[#This Row],[suy_ho_hap]]="Không", 0, 1)</f>
        <v>0</v>
      </c>
      <c r="Z49" s="2" t="s">
        <v>21</v>
      </c>
      <c r="AA49" s="15">
        <f>IF(Form_Responses1[[#This Row],[rung_nhi]]="Không", 0, 1)</f>
        <v>0</v>
      </c>
      <c r="AB49" s="2" t="s">
        <v>21</v>
      </c>
      <c r="AC49" s="15">
        <v>459</v>
      </c>
      <c r="AD49" s="15">
        <v>0.08</v>
      </c>
      <c r="AE49" s="15">
        <v>8.6999999999999993</v>
      </c>
      <c r="AF49" s="15">
        <v>141</v>
      </c>
      <c r="AG49" s="15">
        <v>213</v>
      </c>
      <c r="AH49" s="15">
        <v>137</v>
      </c>
      <c r="AI49" s="15">
        <v>3.5</v>
      </c>
      <c r="AJ49" s="15">
        <v>9.3000000000000007</v>
      </c>
      <c r="AK49" s="15">
        <v>1.4</v>
      </c>
      <c r="AL49" s="2" t="s">
        <v>21</v>
      </c>
      <c r="AM49" s="28">
        <v>1531.4</v>
      </c>
      <c r="AN49" s="6">
        <f>IF(Form_Responses1[[#This Row],[NT_proBNP &gt; 35000]]="Có", 35001, Form_Responses1[[#This Row],[NT_ProBNP]])</f>
        <v>1531.4</v>
      </c>
      <c r="AO49" s="27">
        <f>IF(Form_Responses1[[#This Row],[NT_proBNP &gt; 35000]]="Có", 1, 0)</f>
        <v>0</v>
      </c>
      <c r="AP49" s="15">
        <v>79.53</v>
      </c>
      <c r="AQ49" s="15">
        <v>41</v>
      </c>
      <c r="AR49" s="15">
        <v>54</v>
      </c>
      <c r="AS49" s="20"/>
      <c r="AT49" s="15">
        <v>41</v>
      </c>
      <c r="AU49" s="15">
        <v>49</v>
      </c>
      <c r="AV49" s="15">
        <v>70</v>
      </c>
      <c r="AW49" s="15">
        <v>54</v>
      </c>
      <c r="AX49" s="18"/>
      <c r="AY49" s="26">
        <f>IF(Form_Responses1[[#This Row],[ket_cuc]]="Không tử vong", 0, 1)</f>
        <v>0</v>
      </c>
      <c r="AZ49" s="2" t="s">
        <v>24</v>
      </c>
      <c r="BA49" s="32">
        <v>20</v>
      </c>
      <c r="BB49" s="32">
        <v>2.1135482109064838E-2</v>
      </c>
    </row>
    <row r="50" spans="1:54" ht="13" x14ac:dyDescent="0.15">
      <c r="A50" s="1" t="s">
        <v>96</v>
      </c>
      <c r="B50" s="6">
        <v>86</v>
      </c>
      <c r="C50" s="6">
        <f>IF(Form_Responses1[[#This Row],[gioi_tinh]]="Nữ", 0, 1)</f>
        <v>0</v>
      </c>
      <c r="D50" s="1" t="s">
        <v>20</v>
      </c>
      <c r="E50" s="6">
        <v>20</v>
      </c>
      <c r="F50" s="6">
        <f>IF(Form_Responses1[[#This Row],[dai_thao_duong]]="Không", 0, 1)</f>
        <v>0</v>
      </c>
      <c r="G50" s="1" t="s">
        <v>21</v>
      </c>
      <c r="H50" s="6">
        <f t="shared" si="0"/>
        <v>1</v>
      </c>
      <c r="I50" s="1" t="s">
        <v>22</v>
      </c>
      <c r="J50" s="6">
        <f>IF(Form_Responses1[[#This Row],[hoi_chung_vanh_man]]="Không", 0, 1)</f>
        <v>0</v>
      </c>
      <c r="K50" s="1" t="s">
        <v>21</v>
      </c>
      <c r="L50" s="6">
        <f>IF(Form_Responses1[[#This Row],[ckd]]="Không", 0, 1)</f>
        <v>0</v>
      </c>
      <c r="M50" s="1" t="s">
        <v>21</v>
      </c>
      <c r="N50" s="6">
        <f t="shared" si="1"/>
        <v>0</v>
      </c>
      <c r="O50" s="1" t="s">
        <v>21</v>
      </c>
      <c r="P50" s="6">
        <f>IF(Form_Responses1[[#This Row],[phan_loai_the_lam_sang]]="Suy tim mất bù cấp", 1,0)</f>
        <v>0</v>
      </c>
      <c r="Q50" s="6">
        <f>IF(Form_Responses1[[#This Row],[phan_loai_the_lam_sang]]="Phù phổi cấp", 1, 0)</f>
        <v>1</v>
      </c>
      <c r="R50" s="6">
        <f>IF(Form_Responses1[[#This Row],[phan_loai_the_lam_sang]]="Choáng tim", 1, 0)</f>
        <v>0</v>
      </c>
      <c r="S50" s="1" t="s">
        <v>45</v>
      </c>
      <c r="T50" s="6">
        <v>65</v>
      </c>
      <c r="U50" s="6">
        <v>100</v>
      </c>
      <c r="V50" s="6">
        <v>70</v>
      </c>
      <c r="W50" s="6">
        <f>IF(Form_Responses1[[#This Row],[hcvc]]="Không", 0, 1)</f>
        <v>1</v>
      </c>
      <c r="X50" s="1" t="s">
        <v>22</v>
      </c>
      <c r="Y50" s="6">
        <f>IF(Form_Responses1[[#This Row],[suy_ho_hap]]="Không", 0, 1)</f>
        <v>1</v>
      </c>
      <c r="Z50" s="1" t="s">
        <v>22</v>
      </c>
      <c r="AA50" s="6">
        <f>IF(Form_Responses1[[#This Row],[rung_nhi]]="Không", 0, 1)</f>
        <v>0</v>
      </c>
      <c r="AB50" s="1" t="s">
        <v>21</v>
      </c>
      <c r="AC50" s="6">
        <v>408</v>
      </c>
      <c r="AD50" s="6">
        <v>0.12</v>
      </c>
      <c r="AE50" s="6">
        <v>18.05</v>
      </c>
      <c r="AF50" s="6">
        <v>110</v>
      </c>
      <c r="AG50" s="6">
        <v>144</v>
      </c>
      <c r="AH50" s="6">
        <v>130</v>
      </c>
      <c r="AI50" s="6">
        <v>4.2</v>
      </c>
      <c r="AJ50" s="6">
        <v>35</v>
      </c>
      <c r="AK50" s="6">
        <v>3.07</v>
      </c>
      <c r="AL50" s="1" t="s">
        <v>21</v>
      </c>
      <c r="AM50" s="1">
        <v>11728.2</v>
      </c>
      <c r="AN50" s="6">
        <f>IF(Form_Responses1[[#This Row],[NT_proBNP &gt; 35000]]="Có", 35001, Form_Responses1[[#This Row],[NT_ProBNP]])</f>
        <v>11728.2</v>
      </c>
      <c r="AO50" s="6">
        <f>IF(Form_Responses1[[#This Row],[NT_proBNP &gt; 35000]]="Có", 1, 0)</f>
        <v>0</v>
      </c>
      <c r="AP50" s="6">
        <v>87.56</v>
      </c>
      <c r="AQ50" s="6">
        <v>48</v>
      </c>
      <c r="AR50" s="6">
        <v>56</v>
      </c>
      <c r="AS50" s="6">
        <v>351</v>
      </c>
      <c r="AT50" s="6">
        <v>31.5</v>
      </c>
      <c r="AU50" s="6">
        <v>28.9</v>
      </c>
      <c r="AV50" s="6">
        <v>37.4</v>
      </c>
      <c r="AW50" s="6">
        <v>54</v>
      </c>
      <c r="AX50" s="27">
        <v>42</v>
      </c>
      <c r="AY50" s="29">
        <f>IF(Form_Responses1[[#This Row],[ket_cuc]]="Không tử vong", 0, 1)</f>
        <v>0</v>
      </c>
      <c r="AZ50" s="1" t="s">
        <v>24</v>
      </c>
      <c r="BA50" s="32">
        <v>51</v>
      </c>
      <c r="BB50" s="32">
        <v>0.11986597008374555</v>
      </c>
    </row>
    <row r="51" spans="1:54" ht="13" x14ac:dyDescent="0.15">
      <c r="A51" s="2" t="s">
        <v>247</v>
      </c>
      <c r="B51" s="15">
        <v>65</v>
      </c>
      <c r="C51" s="15">
        <f>IF(Form_Responses1[[#This Row],[gioi_tinh]]="Nữ", 0, 1)</f>
        <v>1</v>
      </c>
      <c r="D51" s="2" t="s">
        <v>26</v>
      </c>
      <c r="E51" s="15">
        <v>23.4</v>
      </c>
      <c r="F51" s="15">
        <f>IF(Form_Responses1[[#This Row],[dai_thao_duong]]="Không", 0, 1)</f>
        <v>0</v>
      </c>
      <c r="G51" s="2" t="s">
        <v>21</v>
      </c>
      <c r="H51" s="15">
        <f t="shared" si="0"/>
        <v>0</v>
      </c>
      <c r="I51" s="2" t="s">
        <v>21</v>
      </c>
      <c r="J51" s="15">
        <f>IF(Form_Responses1[[#This Row],[hoi_chung_vanh_man]]="Không", 0, 1)</f>
        <v>0</v>
      </c>
      <c r="K51" s="2" t="s">
        <v>21</v>
      </c>
      <c r="L51" s="15">
        <f>IF(Form_Responses1[[#This Row],[ckd]]="Không", 0, 1)</f>
        <v>0</v>
      </c>
      <c r="M51" s="2" t="s">
        <v>21</v>
      </c>
      <c r="N51" s="15">
        <f t="shared" si="1"/>
        <v>0</v>
      </c>
      <c r="O51" s="2" t="s">
        <v>21</v>
      </c>
      <c r="P51" s="15">
        <f>IF(Form_Responses1[[#This Row],[phan_loai_the_lam_sang]]="Suy tim mất bù cấp", 1,0)</f>
        <v>1</v>
      </c>
      <c r="Q51" s="15">
        <f>IF(Form_Responses1[[#This Row],[phan_loai_the_lam_sang]]="Phù phổi cấp", 1, 0)</f>
        <v>0</v>
      </c>
      <c r="R51" s="15">
        <f>IF(Form_Responses1[[#This Row],[phan_loai_the_lam_sang]]="Choáng tim", 1, 0)</f>
        <v>0</v>
      </c>
      <c r="S51" s="2" t="s">
        <v>23</v>
      </c>
      <c r="T51" s="15">
        <v>70</v>
      </c>
      <c r="U51" s="15">
        <v>150</v>
      </c>
      <c r="V51" s="15">
        <v>100</v>
      </c>
      <c r="W51" s="15">
        <f>IF(Form_Responses1[[#This Row],[hcvc]]="Không", 0, 1)</f>
        <v>0</v>
      </c>
      <c r="X51" s="2" t="s">
        <v>21</v>
      </c>
      <c r="Y51" s="15">
        <f>IF(Form_Responses1[[#This Row],[suy_ho_hap]]="Không", 0, 1)</f>
        <v>0</v>
      </c>
      <c r="Z51" s="2" t="s">
        <v>21</v>
      </c>
      <c r="AA51" s="15">
        <f>IF(Form_Responses1[[#This Row],[rung_nhi]]="Không", 0, 1)</f>
        <v>0</v>
      </c>
      <c r="AB51" s="2" t="s">
        <v>21</v>
      </c>
      <c r="AC51" s="15">
        <v>538</v>
      </c>
      <c r="AD51" s="15">
        <v>7.0000000000000007E-2</v>
      </c>
      <c r="AE51" s="15">
        <v>7.51</v>
      </c>
      <c r="AF51" s="15">
        <v>137</v>
      </c>
      <c r="AG51" s="15">
        <v>111</v>
      </c>
      <c r="AH51" s="15">
        <v>134</v>
      </c>
      <c r="AI51" s="15">
        <v>3.6</v>
      </c>
      <c r="AJ51" s="15">
        <v>18</v>
      </c>
      <c r="AK51" s="15">
        <v>1.1399999999999999</v>
      </c>
      <c r="AL51" s="2" t="s">
        <v>21</v>
      </c>
      <c r="AM51" s="2">
        <v>2997</v>
      </c>
      <c r="AN51" s="6">
        <f>IF(Form_Responses1[[#This Row],[NT_proBNP &gt; 35000]]="Có", 35001, Form_Responses1[[#This Row],[NT_ProBNP]])</f>
        <v>2997</v>
      </c>
      <c r="AO51" s="15">
        <f>IF(Form_Responses1[[#This Row],[NT_proBNP &gt; 35000]]="Có", 1, 0)</f>
        <v>0</v>
      </c>
      <c r="AP51" s="15">
        <v>274.5</v>
      </c>
      <c r="AQ51" s="15">
        <v>139</v>
      </c>
      <c r="AR51" s="15">
        <v>134</v>
      </c>
      <c r="AS51" s="15">
        <v>98</v>
      </c>
      <c r="AT51" s="15">
        <v>44</v>
      </c>
      <c r="AU51" s="15">
        <v>35</v>
      </c>
      <c r="AV51" s="15">
        <v>49</v>
      </c>
      <c r="AW51" s="15">
        <v>54</v>
      </c>
      <c r="AX51" s="15">
        <v>35</v>
      </c>
      <c r="AY51" s="22">
        <f>IF(Form_Responses1[[#This Row],[ket_cuc]]="Không tử vong", 0, 1)</f>
        <v>0</v>
      </c>
      <c r="AZ51" s="2" t="s">
        <v>24</v>
      </c>
      <c r="BA51" s="32">
        <v>30</v>
      </c>
      <c r="BB51" s="32">
        <v>3.0195546799443217E-2</v>
      </c>
    </row>
    <row r="52" spans="1:54" ht="13" x14ac:dyDescent="0.15">
      <c r="A52" s="2" t="s">
        <v>43</v>
      </c>
      <c r="B52" s="15">
        <v>52</v>
      </c>
      <c r="C52" s="15">
        <f>IF(Form_Responses1[[#This Row],[gioi_tinh]]="Nữ", 0, 1)</f>
        <v>1</v>
      </c>
      <c r="D52" s="2" t="s">
        <v>26</v>
      </c>
      <c r="E52" s="15">
        <v>24.7</v>
      </c>
      <c r="F52" s="15">
        <f>IF(Form_Responses1[[#This Row],[dai_thao_duong]]="Không", 0, 1)</f>
        <v>0</v>
      </c>
      <c r="G52" s="2" t="s">
        <v>21</v>
      </c>
      <c r="H52" s="15">
        <f t="shared" si="0"/>
        <v>0</v>
      </c>
      <c r="I52" s="2" t="s">
        <v>21</v>
      </c>
      <c r="J52" s="15">
        <f>IF(Form_Responses1[[#This Row],[hoi_chung_vanh_man]]="Không", 0, 1)</f>
        <v>0</v>
      </c>
      <c r="K52" s="2" t="s">
        <v>21</v>
      </c>
      <c r="L52" s="15">
        <f>IF(Form_Responses1[[#This Row],[ckd]]="Không", 0, 1)</f>
        <v>0</v>
      </c>
      <c r="M52" s="2" t="s">
        <v>21</v>
      </c>
      <c r="N52" s="15">
        <f t="shared" si="1"/>
        <v>0</v>
      </c>
      <c r="O52" s="2" t="s">
        <v>21</v>
      </c>
      <c r="P52" s="15">
        <f>IF(Form_Responses1[[#This Row],[phan_loai_the_lam_sang]]="Suy tim mất bù cấp", 1,0)</f>
        <v>1</v>
      </c>
      <c r="Q52" s="15">
        <f>IF(Form_Responses1[[#This Row],[phan_loai_the_lam_sang]]="Phù phổi cấp", 1, 0)</f>
        <v>0</v>
      </c>
      <c r="R52" s="15">
        <f>IF(Form_Responses1[[#This Row],[phan_loai_the_lam_sang]]="Choáng tim", 1, 0)</f>
        <v>0</v>
      </c>
      <c r="S52" s="2" t="s">
        <v>23</v>
      </c>
      <c r="T52" s="15">
        <v>100</v>
      </c>
      <c r="U52" s="15">
        <v>120</v>
      </c>
      <c r="V52" s="15">
        <v>70</v>
      </c>
      <c r="W52" s="15">
        <f>IF(Form_Responses1[[#This Row],[hcvc]]="Không", 0, 1)</f>
        <v>0</v>
      </c>
      <c r="X52" s="2" t="s">
        <v>21</v>
      </c>
      <c r="Y52" s="15">
        <f>IF(Form_Responses1[[#This Row],[suy_ho_hap]]="Không", 0, 1)</f>
        <v>0</v>
      </c>
      <c r="Z52" s="2" t="s">
        <v>21</v>
      </c>
      <c r="AA52" s="15">
        <f>IF(Form_Responses1[[#This Row],[rung_nhi]]="Không", 0, 1)</f>
        <v>1</v>
      </c>
      <c r="AB52" s="2" t="s">
        <v>22</v>
      </c>
      <c r="AC52" s="15">
        <v>399</v>
      </c>
      <c r="AD52" s="15">
        <v>0.08</v>
      </c>
      <c r="AE52" s="15">
        <v>9.01</v>
      </c>
      <c r="AF52" s="15">
        <v>114</v>
      </c>
      <c r="AG52" s="15">
        <v>305</v>
      </c>
      <c r="AH52" s="15">
        <v>123</v>
      </c>
      <c r="AI52" s="15">
        <v>3.8</v>
      </c>
      <c r="AJ52" s="15">
        <v>27</v>
      </c>
      <c r="AK52" s="15">
        <v>1.38</v>
      </c>
      <c r="AL52" s="2" t="s">
        <v>21</v>
      </c>
      <c r="AM52" s="2">
        <v>1067</v>
      </c>
      <c r="AN52" s="6">
        <f>IF(Form_Responses1[[#This Row],[NT_proBNP &gt; 35000]]="Có", 35001, Form_Responses1[[#This Row],[NT_ProBNP]])</f>
        <v>1067</v>
      </c>
      <c r="AO52" s="15">
        <f>IF(Form_Responses1[[#This Row],[NT_proBNP &gt; 35000]]="Có", 1, 0)</f>
        <v>0</v>
      </c>
      <c r="AP52" s="15">
        <v>15.23</v>
      </c>
      <c r="AQ52" s="15">
        <v>25</v>
      </c>
      <c r="AR52" s="15">
        <v>25</v>
      </c>
      <c r="AS52" s="15">
        <v>178</v>
      </c>
      <c r="AT52" s="15">
        <v>30</v>
      </c>
      <c r="AU52" s="15">
        <v>37</v>
      </c>
      <c r="AV52" s="15">
        <v>51</v>
      </c>
      <c r="AW52" s="15">
        <v>53</v>
      </c>
      <c r="AX52" s="15">
        <v>45</v>
      </c>
      <c r="AY52" s="22">
        <f>IF(Form_Responses1[[#This Row],[ket_cuc]]="Không tử vong", 0, 1)</f>
        <v>0</v>
      </c>
      <c r="AZ52" s="2" t="s">
        <v>24</v>
      </c>
      <c r="BA52" s="32">
        <v>43</v>
      </c>
      <c r="BB52" s="32">
        <v>6.3924107231655369E-2</v>
      </c>
    </row>
    <row r="53" spans="1:54" ht="13" x14ac:dyDescent="0.15">
      <c r="A53" s="1" t="s">
        <v>197</v>
      </c>
      <c r="B53" s="6">
        <v>69</v>
      </c>
      <c r="C53" s="6">
        <f>IF(Form_Responses1[[#This Row],[gioi_tinh]]="Nữ", 0, 1)</f>
        <v>1</v>
      </c>
      <c r="D53" s="1" t="s">
        <v>26</v>
      </c>
      <c r="E53" s="6">
        <v>20</v>
      </c>
      <c r="F53" s="6">
        <f>IF(Form_Responses1[[#This Row],[dai_thao_duong]]="Không", 0, 1)</f>
        <v>0</v>
      </c>
      <c r="G53" s="1" t="s">
        <v>21</v>
      </c>
      <c r="H53" s="6">
        <f t="shared" si="0"/>
        <v>0</v>
      </c>
      <c r="I53" s="1" t="s">
        <v>21</v>
      </c>
      <c r="J53" s="6">
        <f>IF(Form_Responses1[[#This Row],[hoi_chung_vanh_man]]="Không", 0, 1)</f>
        <v>1</v>
      </c>
      <c r="K53" s="1" t="s">
        <v>22</v>
      </c>
      <c r="L53" s="6">
        <f>IF(Form_Responses1[[#This Row],[ckd]]="Không", 0, 1)</f>
        <v>1</v>
      </c>
      <c r="M53" s="1" t="s">
        <v>22</v>
      </c>
      <c r="N53" s="6">
        <f t="shared" si="1"/>
        <v>0</v>
      </c>
      <c r="O53" s="1" t="s">
        <v>21</v>
      </c>
      <c r="P53" s="6">
        <f>IF(Form_Responses1[[#This Row],[phan_loai_the_lam_sang]]="Suy tim mất bù cấp", 1,0)</f>
        <v>1</v>
      </c>
      <c r="Q53" s="6">
        <f>IF(Form_Responses1[[#This Row],[phan_loai_the_lam_sang]]="Phù phổi cấp", 1, 0)</f>
        <v>0</v>
      </c>
      <c r="R53" s="6">
        <f>IF(Form_Responses1[[#This Row],[phan_loai_the_lam_sang]]="Choáng tim", 1, 0)</f>
        <v>0</v>
      </c>
      <c r="S53" s="1" t="s">
        <v>23</v>
      </c>
      <c r="T53" s="6">
        <v>60</v>
      </c>
      <c r="U53" s="6">
        <v>120</v>
      </c>
      <c r="V53" s="6">
        <v>80</v>
      </c>
      <c r="W53" s="6">
        <f>IF(Form_Responses1[[#This Row],[hcvc]]="Không", 0, 1)</f>
        <v>0</v>
      </c>
      <c r="X53" s="1" t="s">
        <v>21</v>
      </c>
      <c r="Y53" s="6">
        <f>IF(Form_Responses1[[#This Row],[suy_ho_hap]]="Không", 0, 1)</f>
        <v>0</v>
      </c>
      <c r="Z53" s="1" t="s">
        <v>21</v>
      </c>
      <c r="AA53" s="6">
        <f>IF(Form_Responses1[[#This Row],[rung_nhi]]="Không", 0, 1)</f>
        <v>1</v>
      </c>
      <c r="AB53" s="1" t="s">
        <v>22</v>
      </c>
      <c r="AC53" s="6">
        <v>473</v>
      </c>
      <c r="AD53" s="6">
        <v>0.08</v>
      </c>
      <c r="AE53" s="6">
        <v>9.5399999999999991</v>
      </c>
      <c r="AF53" s="6">
        <v>134</v>
      </c>
      <c r="AG53" s="6">
        <v>186</v>
      </c>
      <c r="AH53" s="6">
        <v>135</v>
      </c>
      <c r="AI53" s="6">
        <v>4.3</v>
      </c>
      <c r="AJ53" s="6">
        <v>42</v>
      </c>
      <c r="AK53" s="6">
        <v>1.8</v>
      </c>
      <c r="AL53" s="1" t="s">
        <v>21</v>
      </c>
      <c r="AM53" s="1">
        <v>9962.7000000000007</v>
      </c>
      <c r="AN53" s="6">
        <f>IF(Form_Responses1[[#This Row],[NT_proBNP &gt; 35000]]="Có", 35001, Form_Responses1[[#This Row],[NT_ProBNP]])</f>
        <v>9962.7000000000007</v>
      </c>
      <c r="AO53" s="6">
        <f>IF(Form_Responses1[[#This Row],[NT_proBNP &gt; 35000]]="Có", 1, 0)</f>
        <v>0</v>
      </c>
      <c r="AP53" s="6">
        <v>49.7</v>
      </c>
      <c r="AQ53" s="6">
        <v>95</v>
      </c>
      <c r="AR53" s="6">
        <v>147</v>
      </c>
      <c r="AS53" s="6">
        <v>172</v>
      </c>
      <c r="AT53" s="6">
        <v>58</v>
      </c>
      <c r="AU53" s="6">
        <v>49</v>
      </c>
      <c r="AV53" s="6">
        <v>68</v>
      </c>
      <c r="AW53" s="6">
        <v>53</v>
      </c>
      <c r="AX53" s="6">
        <v>35</v>
      </c>
      <c r="AY53" s="24">
        <f>IF(Form_Responses1[[#This Row],[ket_cuc]]="Không tử vong", 0, 1)</f>
        <v>0</v>
      </c>
      <c r="AZ53" s="1" t="s">
        <v>24</v>
      </c>
      <c r="BA53" s="32">
        <v>42</v>
      </c>
      <c r="BB53" s="32">
        <v>6.9629147966208005E-2</v>
      </c>
    </row>
    <row r="54" spans="1:54" ht="13" x14ac:dyDescent="0.15">
      <c r="A54" s="2" t="s">
        <v>342</v>
      </c>
      <c r="B54" s="15">
        <v>72</v>
      </c>
      <c r="C54" s="15">
        <f>IF(Form_Responses1[[#This Row],[gioi_tinh]]="Nữ", 0, 1)</f>
        <v>1</v>
      </c>
      <c r="D54" s="2" t="s">
        <v>26</v>
      </c>
      <c r="E54" s="15">
        <v>24.2</v>
      </c>
      <c r="F54" s="15">
        <f>IF(Form_Responses1[[#This Row],[dai_thao_duong]]="Không", 0, 1)</f>
        <v>0</v>
      </c>
      <c r="G54" s="2" t="s">
        <v>21</v>
      </c>
      <c r="H54" s="15">
        <f t="shared" si="0"/>
        <v>1</v>
      </c>
      <c r="I54" s="2" t="s">
        <v>22</v>
      </c>
      <c r="J54" s="15">
        <f>IF(Form_Responses1[[#This Row],[hoi_chung_vanh_man]]="Không", 0, 1)</f>
        <v>1</v>
      </c>
      <c r="K54" s="2" t="s">
        <v>22</v>
      </c>
      <c r="L54" s="15">
        <f>IF(Form_Responses1[[#This Row],[ckd]]="Không", 0, 1)</f>
        <v>0</v>
      </c>
      <c r="M54" s="2" t="s">
        <v>21</v>
      </c>
      <c r="N54" s="15">
        <f t="shared" si="1"/>
        <v>0</v>
      </c>
      <c r="O54" s="2" t="s">
        <v>21</v>
      </c>
      <c r="P54" s="15">
        <f>IF(Form_Responses1[[#This Row],[phan_loai_the_lam_sang]]="Suy tim mất bù cấp", 1,0)</f>
        <v>1</v>
      </c>
      <c r="Q54" s="15">
        <f>IF(Form_Responses1[[#This Row],[phan_loai_the_lam_sang]]="Phù phổi cấp", 1, 0)</f>
        <v>0</v>
      </c>
      <c r="R54" s="15">
        <f>IF(Form_Responses1[[#This Row],[phan_loai_the_lam_sang]]="Choáng tim", 1, 0)</f>
        <v>0</v>
      </c>
      <c r="S54" s="2" t="s">
        <v>23</v>
      </c>
      <c r="T54" s="15">
        <v>86</v>
      </c>
      <c r="U54" s="15">
        <v>110</v>
      </c>
      <c r="V54" s="15">
        <v>60</v>
      </c>
      <c r="W54" s="15">
        <f>IF(Form_Responses1[[#This Row],[hcvc]]="Không", 0, 1)</f>
        <v>0</v>
      </c>
      <c r="X54" s="2" t="s">
        <v>21</v>
      </c>
      <c r="Y54" s="15">
        <f>IF(Form_Responses1[[#This Row],[suy_ho_hap]]="Không", 0, 1)</f>
        <v>1</v>
      </c>
      <c r="Z54" s="2" t="s">
        <v>22</v>
      </c>
      <c r="AA54" s="15">
        <f>IF(Form_Responses1[[#This Row],[rung_nhi]]="Không", 0, 1)</f>
        <v>0</v>
      </c>
      <c r="AB54" s="2" t="s">
        <v>21</v>
      </c>
      <c r="AC54" s="15">
        <v>388</v>
      </c>
      <c r="AD54" s="15">
        <v>7.0000000000000007E-2</v>
      </c>
      <c r="AE54" s="15">
        <v>10.33</v>
      </c>
      <c r="AF54" s="15">
        <v>127</v>
      </c>
      <c r="AG54" s="15">
        <v>291</v>
      </c>
      <c r="AH54" s="15">
        <v>133</v>
      </c>
      <c r="AI54" s="15">
        <v>3.2</v>
      </c>
      <c r="AJ54" s="15">
        <v>19.600000000000001</v>
      </c>
      <c r="AK54" s="15">
        <v>1.66</v>
      </c>
      <c r="AL54" s="2" t="s">
        <v>21</v>
      </c>
      <c r="AM54" s="2">
        <v>1178.0999999999999</v>
      </c>
      <c r="AN54" s="6">
        <f>IF(Form_Responses1[[#This Row],[NT_proBNP &gt; 35000]]="Có", 35001, Form_Responses1[[#This Row],[NT_ProBNP]])</f>
        <v>1178.0999999999999</v>
      </c>
      <c r="AO54" s="15">
        <f>IF(Form_Responses1[[#This Row],[NT_proBNP &gt; 35000]]="Có", 1, 0)</f>
        <v>0</v>
      </c>
      <c r="AP54" s="15">
        <v>270.7</v>
      </c>
      <c r="AQ54" s="15">
        <v>74</v>
      </c>
      <c r="AR54" s="15">
        <v>33</v>
      </c>
      <c r="AS54" s="15">
        <v>268</v>
      </c>
      <c r="AT54" s="15">
        <v>47.9</v>
      </c>
      <c r="AU54" s="15">
        <v>35.5</v>
      </c>
      <c r="AV54" s="15">
        <v>57.2</v>
      </c>
      <c r="AW54" s="15">
        <v>53</v>
      </c>
      <c r="AY54" s="25">
        <f>IF(Form_Responses1[[#This Row],[ket_cuc]]="Không tử vong", 0, 1)</f>
        <v>0</v>
      </c>
      <c r="AZ54" s="2" t="s">
        <v>24</v>
      </c>
      <c r="BA54" s="32">
        <v>45</v>
      </c>
      <c r="BB54" s="32">
        <v>9.4809139860689354E-2</v>
      </c>
    </row>
    <row r="55" spans="1:54" ht="13" x14ac:dyDescent="0.15">
      <c r="A55" s="1" t="s">
        <v>192</v>
      </c>
      <c r="B55" s="6">
        <v>72</v>
      </c>
      <c r="C55" s="6">
        <f>IF(Form_Responses1[[#This Row],[gioi_tinh]]="Nữ", 0, 1)</f>
        <v>1</v>
      </c>
      <c r="D55" s="1" t="s">
        <v>26</v>
      </c>
      <c r="E55" s="6">
        <v>16.5</v>
      </c>
      <c r="F55" s="6">
        <f>IF(Form_Responses1[[#This Row],[dai_thao_duong]]="Không", 0, 1)</f>
        <v>0</v>
      </c>
      <c r="G55" s="1" t="s">
        <v>21</v>
      </c>
      <c r="H55" s="6">
        <f t="shared" si="0"/>
        <v>0</v>
      </c>
      <c r="I55" s="1" t="s">
        <v>21</v>
      </c>
      <c r="J55" s="6">
        <f>IF(Form_Responses1[[#This Row],[hoi_chung_vanh_man]]="Không", 0, 1)</f>
        <v>0</v>
      </c>
      <c r="K55" s="1" t="s">
        <v>21</v>
      </c>
      <c r="L55" s="6">
        <f>IF(Form_Responses1[[#This Row],[ckd]]="Không", 0, 1)</f>
        <v>0</v>
      </c>
      <c r="M55" s="1" t="s">
        <v>21</v>
      </c>
      <c r="N55" s="6">
        <f t="shared" si="1"/>
        <v>0</v>
      </c>
      <c r="O55" s="1" t="s">
        <v>21</v>
      </c>
      <c r="P55" s="6">
        <f>IF(Form_Responses1[[#This Row],[phan_loai_the_lam_sang]]="Suy tim mất bù cấp", 1,0)</f>
        <v>0</v>
      </c>
      <c r="Q55" s="6">
        <f>IF(Form_Responses1[[#This Row],[phan_loai_the_lam_sang]]="Phù phổi cấp", 1, 0)</f>
        <v>1</v>
      </c>
      <c r="R55" s="6">
        <f>IF(Form_Responses1[[#This Row],[phan_loai_the_lam_sang]]="Choáng tim", 1, 0)</f>
        <v>0</v>
      </c>
      <c r="S55" s="1" t="s">
        <v>45</v>
      </c>
      <c r="T55" s="6">
        <v>112</v>
      </c>
      <c r="U55" s="27">
        <v>90</v>
      </c>
      <c r="V55" s="27">
        <v>60</v>
      </c>
      <c r="W55" s="27">
        <f>IF(Form_Responses1[[#This Row],[hcvc]]="Không", 0, 1)</f>
        <v>0</v>
      </c>
      <c r="X55" s="1" t="s">
        <v>21</v>
      </c>
      <c r="Y55" s="6">
        <f>IF(Form_Responses1[[#This Row],[suy_ho_hap]]="Không", 0, 1)</f>
        <v>0</v>
      </c>
      <c r="Z55" s="1" t="s">
        <v>21</v>
      </c>
      <c r="AA55" s="6">
        <f>IF(Form_Responses1[[#This Row],[rung_nhi]]="Không", 0, 1)</f>
        <v>1</v>
      </c>
      <c r="AB55" s="1" t="s">
        <v>22</v>
      </c>
      <c r="AC55" s="6">
        <v>398</v>
      </c>
      <c r="AD55" s="6">
        <v>0.08</v>
      </c>
      <c r="AE55" s="6">
        <v>10.9</v>
      </c>
      <c r="AF55" s="6">
        <v>108</v>
      </c>
      <c r="AG55" s="6">
        <v>124</v>
      </c>
      <c r="AH55" s="6">
        <v>132</v>
      </c>
      <c r="AI55" s="6">
        <v>4.5999999999999996</v>
      </c>
      <c r="AJ55" s="6">
        <v>45</v>
      </c>
      <c r="AK55" s="6">
        <v>1.62</v>
      </c>
      <c r="AL55" s="1" t="s">
        <v>22</v>
      </c>
      <c r="AN55" s="6">
        <f>IF(Form_Responses1[[#This Row],[NT_proBNP &gt; 35000]]="Có", 35001, Form_Responses1[[#This Row],[NT_ProBNP]])</f>
        <v>35001</v>
      </c>
      <c r="AO55" s="5">
        <f>IF(Form_Responses1[[#This Row],[NT_proBNP &gt; 35000]]="Có", 1, 0)</f>
        <v>1</v>
      </c>
      <c r="AP55" s="6">
        <v>8292.73</v>
      </c>
      <c r="AQ55" s="6">
        <v>62</v>
      </c>
      <c r="AR55" s="6">
        <v>33</v>
      </c>
      <c r="AS55" s="6">
        <v>131</v>
      </c>
      <c r="AT55" s="6">
        <v>85</v>
      </c>
      <c r="AU55" s="6">
        <v>52.1</v>
      </c>
      <c r="AV55" s="6">
        <v>69</v>
      </c>
      <c r="AW55" s="6">
        <v>53</v>
      </c>
      <c r="AX55" s="6">
        <v>70</v>
      </c>
      <c r="AY55" s="24">
        <f>IF(Form_Responses1[[#This Row],[ket_cuc]]="Không tử vong", 0, 1)</f>
        <v>0</v>
      </c>
      <c r="AZ55" s="1" t="s">
        <v>24</v>
      </c>
      <c r="BA55" s="32">
        <v>60</v>
      </c>
      <c r="BB55" s="32">
        <v>0.20145906851166542</v>
      </c>
    </row>
    <row r="56" spans="1:54" ht="13" x14ac:dyDescent="0.15">
      <c r="A56" s="2" t="s">
        <v>326</v>
      </c>
      <c r="B56" s="15">
        <v>64</v>
      </c>
      <c r="C56" s="15">
        <f>IF(Form_Responses1[[#This Row],[gioi_tinh]]="Nữ", 0, 1)</f>
        <v>0</v>
      </c>
      <c r="D56" s="2" t="s">
        <v>20</v>
      </c>
      <c r="E56" s="15">
        <v>26.7</v>
      </c>
      <c r="F56" s="15">
        <f>IF(Form_Responses1[[#This Row],[dai_thao_duong]]="Không", 0, 1)</f>
        <v>1</v>
      </c>
      <c r="G56" s="2" t="s">
        <v>22</v>
      </c>
      <c r="H56" s="15">
        <f t="shared" si="0"/>
        <v>1</v>
      </c>
      <c r="I56" s="2" t="s">
        <v>22</v>
      </c>
      <c r="J56" s="15">
        <f>IF(Form_Responses1[[#This Row],[hoi_chung_vanh_man]]="Không", 0, 1)</f>
        <v>0</v>
      </c>
      <c r="K56" s="2" t="s">
        <v>21</v>
      </c>
      <c r="L56" s="15">
        <f>IF(Form_Responses1[[#This Row],[ckd]]="Không", 0, 1)</f>
        <v>1</v>
      </c>
      <c r="M56" s="2" t="s">
        <v>22</v>
      </c>
      <c r="N56" s="15">
        <f t="shared" si="1"/>
        <v>0</v>
      </c>
      <c r="O56" s="2" t="s">
        <v>21</v>
      </c>
      <c r="P56" s="15">
        <f>IF(Form_Responses1[[#This Row],[phan_loai_the_lam_sang]]="Suy tim mất bù cấp", 1,0)</f>
        <v>1</v>
      </c>
      <c r="Q56" s="15">
        <f>IF(Form_Responses1[[#This Row],[phan_loai_the_lam_sang]]="Phù phổi cấp", 1, 0)</f>
        <v>0</v>
      </c>
      <c r="R56" s="15">
        <f>IF(Form_Responses1[[#This Row],[phan_loai_the_lam_sang]]="Choáng tim", 1, 0)</f>
        <v>0</v>
      </c>
      <c r="S56" s="2" t="s">
        <v>23</v>
      </c>
      <c r="T56" s="15">
        <v>84</v>
      </c>
      <c r="U56" s="15">
        <v>140</v>
      </c>
      <c r="V56" s="15">
        <v>70</v>
      </c>
      <c r="W56" s="15">
        <f>IF(Form_Responses1[[#This Row],[hcvc]]="Không", 0, 1)</f>
        <v>0</v>
      </c>
      <c r="X56" s="2" t="s">
        <v>21</v>
      </c>
      <c r="Y56" s="15">
        <f>IF(Form_Responses1[[#This Row],[suy_ho_hap]]="Không", 0, 1)</f>
        <v>0</v>
      </c>
      <c r="Z56" s="2" t="s">
        <v>21</v>
      </c>
      <c r="AA56" s="15">
        <f>IF(Form_Responses1[[#This Row],[rung_nhi]]="Không", 0, 1)</f>
        <v>0</v>
      </c>
      <c r="AB56" s="2" t="s">
        <v>21</v>
      </c>
      <c r="AC56" s="15">
        <v>388</v>
      </c>
      <c r="AD56" s="15">
        <v>0.06</v>
      </c>
      <c r="AE56" s="15">
        <v>7.35</v>
      </c>
      <c r="AF56" s="15">
        <v>83</v>
      </c>
      <c r="AG56" s="15">
        <v>205</v>
      </c>
      <c r="AH56" s="15">
        <v>130</v>
      </c>
      <c r="AI56" s="15">
        <v>3.8</v>
      </c>
      <c r="AJ56" s="15">
        <v>39.299999999999997</v>
      </c>
      <c r="AK56" s="15">
        <v>6.82</v>
      </c>
      <c r="AL56" s="2" t="s">
        <v>21</v>
      </c>
      <c r="AM56" s="2">
        <v>16786.7</v>
      </c>
      <c r="AN56" s="6">
        <f>IF(Form_Responses1[[#This Row],[NT_proBNP &gt; 35000]]="Có", 35001, Form_Responses1[[#This Row],[NT_ProBNP]])</f>
        <v>16786.7</v>
      </c>
      <c r="AO56" s="15">
        <f>IF(Form_Responses1[[#This Row],[NT_proBNP &gt; 35000]]="Có", 1, 0)</f>
        <v>0</v>
      </c>
      <c r="AP56" s="15">
        <v>321.70999999999998</v>
      </c>
      <c r="AQ56" s="15">
        <v>22</v>
      </c>
      <c r="AR56" s="15">
        <v>6</v>
      </c>
      <c r="AS56" s="15">
        <v>256</v>
      </c>
      <c r="AT56" s="15">
        <v>35</v>
      </c>
      <c r="AU56" s="15">
        <v>37</v>
      </c>
      <c r="AV56" s="15">
        <v>50</v>
      </c>
      <c r="AW56" s="15">
        <v>51</v>
      </c>
      <c r="AY56" s="25">
        <f>IF(Form_Responses1[[#This Row],[ket_cuc]]="Không tử vong", 0, 1)</f>
        <v>0</v>
      </c>
      <c r="AZ56" s="2" t="s">
        <v>24</v>
      </c>
      <c r="BA56" s="32">
        <v>39</v>
      </c>
      <c r="BB56" s="32">
        <v>9.2185266612398883E-2</v>
      </c>
    </row>
    <row r="57" spans="1:54" ht="13" x14ac:dyDescent="0.15">
      <c r="A57" s="1" t="s">
        <v>310</v>
      </c>
      <c r="B57" s="6">
        <v>55</v>
      </c>
      <c r="C57" s="6">
        <f>IF(Form_Responses1[[#This Row],[gioi_tinh]]="Nữ", 0, 1)</f>
        <v>0</v>
      </c>
      <c r="D57" s="1" t="s">
        <v>20</v>
      </c>
      <c r="E57" s="6">
        <v>22.4</v>
      </c>
      <c r="F57" s="6">
        <f>IF(Form_Responses1[[#This Row],[dai_thao_duong]]="Không", 0, 1)</f>
        <v>0</v>
      </c>
      <c r="G57" s="1" t="s">
        <v>21</v>
      </c>
      <c r="H57" s="6">
        <f t="shared" si="0"/>
        <v>0</v>
      </c>
      <c r="I57" s="1" t="s">
        <v>21</v>
      </c>
      <c r="J57" s="6">
        <f>IF(Form_Responses1[[#This Row],[hoi_chung_vanh_man]]="Không", 0, 1)</f>
        <v>0</v>
      </c>
      <c r="K57" s="1" t="s">
        <v>21</v>
      </c>
      <c r="L57" s="6">
        <f>IF(Form_Responses1[[#This Row],[ckd]]="Không", 0, 1)</f>
        <v>0</v>
      </c>
      <c r="M57" s="1" t="s">
        <v>21</v>
      </c>
      <c r="N57" s="6">
        <f t="shared" si="1"/>
        <v>0</v>
      </c>
      <c r="O57" s="1" t="s">
        <v>21</v>
      </c>
      <c r="P57" s="6">
        <f>IF(Form_Responses1[[#This Row],[phan_loai_the_lam_sang]]="Suy tim mất bù cấp", 1,0)</f>
        <v>0</v>
      </c>
      <c r="Q57" s="6">
        <f>IF(Form_Responses1[[#This Row],[phan_loai_the_lam_sang]]="Phù phổi cấp", 1, 0)</f>
        <v>0</v>
      </c>
      <c r="R57" s="6">
        <f>IF(Form_Responses1[[#This Row],[phan_loai_the_lam_sang]]="Choáng tim", 1, 0)</f>
        <v>1</v>
      </c>
      <c r="S57" s="1" t="s">
        <v>28</v>
      </c>
      <c r="T57" s="6">
        <v>100</v>
      </c>
      <c r="U57" s="6">
        <v>110</v>
      </c>
      <c r="V57" s="6">
        <v>70</v>
      </c>
      <c r="W57" s="6">
        <f>IF(Form_Responses1[[#This Row],[hcvc]]="Không", 0, 1)</f>
        <v>0</v>
      </c>
      <c r="X57" s="1" t="s">
        <v>21</v>
      </c>
      <c r="Y57" s="6">
        <f>IF(Form_Responses1[[#This Row],[suy_ho_hap]]="Không", 0, 1)</f>
        <v>0</v>
      </c>
      <c r="Z57" s="1" t="s">
        <v>21</v>
      </c>
      <c r="AA57" s="6">
        <f>IF(Form_Responses1[[#This Row],[rung_nhi]]="Không", 0, 1)</f>
        <v>0</v>
      </c>
      <c r="AB57" s="1" t="s">
        <v>21</v>
      </c>
      <c r="AC57" s="6">
        <v>428</v>
      </c>
      <c r="AD57" s="6">
        <v>0.12</v>
      </c>
      <c r="AE57" s="6">
        <v>7.99</v>
      </c>
      <c r="AF57" s="6">
        <v>142</v>
      </c>
      <c r="AG57" s="6">
        <v>172</v>
      </c>
      <c r="AH57" s="6">
        <v>133</v>
      </c>
      <c r="AI57" s="6">
        <v>3.5</v>
      </c>
      <c r="AJ57" s="6">
        <v>21</v>
      </c>
      <c r="AK57" s="6">
        <v>1.42</v>
      </c>
      <c r="AL57" s="1" t="s">
        <v>22</v>
      </c>
      <c r="AM57" s="10"/>
      <c r="AN57" s="6">
        <f>IF(Form_Responses1[[#This Row],[NT_proBNP &gt; 35000]]="Có", 35001, Form_Responses1[[#This Row],[NT_ProBNP]])</f>
        <v>35001</v>
      </c>
      <c r="AO57" s="13">
        <f>IF(Form_Responses1[[#This Row],[NT_proBNP &gt; 35000]]="Có", 1, 0)</f>
        <v>1</v>
      </c>
      <c r="AP57" s="6">
        <v>707.88</v>
      </c>
      <c r="AQ57" s="6">
        <v>67</v>
      </c>
      <c r="AR57" s="6">
        <v>18</v>
      </c>
      <c r="AS57" s="6">
        <v>269</v>
      </c>
      <c r="AT57" s="6">
        <v>41</v>
      </c>
      <c r="AU57" s="6">
        <v>24.7</v>
      </c>
      <c r="AV57" s="6">
        <v>33.9</v>
      </c>
      <c r="AW57" s="6">
        <v>51</v>
      </c>
      <c r="AX57" s="6">
        <v>54</v>
      </c>
      <c r="AY57" s="24">
        <f>IF(Form_Responses1[[#This Row],[ket_cuc]]="Không tử vong", 0, 1)</f>
        <v>1</v>
      </c>
      <c r="AZ57" s="1" t="s">
        <v>29</v>
      </c>
      <c r="BA57" s="32">
        <v>44</v>
      </c>
      <c r="BB57" s="32">
        <v>6.1525728744668523E-2</v>
      </c>
    </row>
    <row r="58" spans="1:54" ht="13" x14ac:dyDescent="0.15">
      <c r="A58" s="2" t="s">
        <v>31</v>
      </c>
      <c r="B58" s="15">
        <v>47</v>
      </c>
      <c r="C58" s="15">
        <f>IF(Form_Responses1[[#This Row],[gioi_tinh]]="Nữ", 0, 1)</f>
        <v>0</v>
      </c>
      <c r="D58" s="2" t="s">
        <v>20</v>
      </c>
      <c r="E58" s="15">
        <v>25</v>
      </c>
      <c r="F58" s="15">
        <f>IF(Form_Responses1[[#This Row],[dai_thao_duong]]="Không", 0, 1)</f>
        <v>0</v>
      </c>
      <c r="G58" s="2" t="s">
        <v>21</v>
      </c>
      <c r="H58" s="15">
        <f t="shared" si="0"/>
        <v>0</v>
      </c>
      <c r="I58" s="2" t="s">
        <v>21</v>
      </c>
      <c r="J58" s="15">
        <f>IF(Form_Responses1[[#This Row],[hoi_chung_vanh_man]]="Không", 0, 1)</f>
        <v>0</v>
      </c>
      <c r="K58" s="2" t="s">
        <v>21</v>
      </c>
      <c r="L58" s="15">
        <f>IF(Form_Responses1[[#This Row],[ckd]]="Không", 0, 1)</f>
        <v>0</v>
      </c>
      <c r="M58" s="2" t="s">
        <v>21</v>
      </c>
      <c r="N58" s="15">
        <f t="shared" si="1"/>
        <v>0</v>
      </c>
      <c r="O58" s="2" t="s">
        <v>21</v>
      </c>
      <c r="P58" s="15">
        <f>IF(Form_Responses1[[#This Row],[phan_loai_the_lam_sang]]="Suy tim mất bù cấp", 1,0)</f>
        <v>0</v>
      </c>
      <c r="Q58" s="15">
        <f>IF(Form_Responses1[[#This Row],[phan_loai_the_lam_sang]]="Phù phổi cấp", 1, 0)</f>
        <v>0</v>
      </c>
      <c r="R58" s="15">
        <f>IF(Form_Responses1[[#This Row],[phan_loai_the_lam_sang]]="Choáng tim", 1, 0)</f>
        <v>1</v>
      </c>
      <c r="S58" s="2" t="s">
        <v>28</v>
      </c>
      <c r="T58" s="15">
        <v>70</v>
      </c>
      <c r="U58" s="15">
        <v>110</v>
      </c>
      <c r="V58" s="15">
        <v>70</v>
      </c>
      <c r="W58" s="15">
        <f>IF(Form_Responses1[[#This Row],[hcvc]]="Không", 0, 1)</f>
        <v>0</v>
      </c>
      <c r="X58" s="2" t="s">
        <v>21</v>
      </c>
      <c r="Y58" s="15">
        <f>IF(Form_Responses1[[#This Row],[suy_ho_hap]]="Không", 0, 1)</f>
        <v>1</v>
      </c>
      <c r="Z58" s="2" t="s">
        <v>22</v>
      </c>
      <c r="AA58" s="15">
        <f>IF(Form_Responses1[[#This Row],[rung_nhi]]="Không", 0, 1)</f>
        <v>0</v>
      </c>
      <c r="AB58" s="2" t="s">
        <v>21</v>
      </c>
      <c r="AC58" s="15">
        <v>469</v>
      </c>
      <c r="AD58" s="15">
        <v>0.1</v>
      </c>
      <c r="AE58" s="15">
        <v>8.8000000000000007</v>
      </c>
      <c r="AF58" s="15">
        <v>114</v>
      </c>
      <c r="AG58" s="15">
        <v>442</v>
      </c>
      <c r="AH58" s="15">
        <v>133</v>
      </c>
      <c r="AI58" s="15">
        <v>3.9</v>
      </c>
      <c r="AJ58" s="15">
        <v>17</v>
      </c>
      <c r="AK58" s="15">
        <v>0.69</v>
      </c>
      <c r="AL58" s="2" t="s">
        <v>21</v>
      </c>
      <c r="AM58" s="2">
        <v>6112.8</v>
      </c>
      <c r="AN58" s="6">
        <f>IF(Form_Responses1[[#This Row],[NT_proBNP &gt; 35000]]="Có", 35001, Form_Responses1[[#This Row],[NT_ProBNP]])</f>
        <v>6112.8</v>
      </c>
      <c r="AO58" s="15">
        <f>IF(Form_Responses1[[#This Row],[NT_proBNP &gt; 35000]]="Có", 1, 0)</f>
        <v>0</v>
      </c>
      <c r="AP58" s="15">
        <v>13826.84</v>
      </c>
      <c r="AQ58" s="15">
        <v>262</v>
      </c>
      <c r="AR58" s="15">
        <v>161</v>
      </c>
      <c r="AS58" s="15">
        <v>201</v>
      </c>
      <c r="AT58" s="18"/>
      <c r="AU58" s="15">
        <v>29.6</v>
      </c>
      <c r="AV58" s="15">
        <v>39.9</v>
      </c>
      <c r="AW58" s="15">
        <v>51</v>
      </c>
      <c r="AX58" s="15">
        <v>30</v>
      </c>
      <c r="AY58" s="22">
        <f>IF(Form_Responses1[[#This Row],[ket_cuc]]="Không tử vong", 0, 1)</f>
        <v>0</v>
      </c>
      <c r="AZ58" s="2" t="s">
        <v>24</v>
      </c>
      <c r="BA58" s="32">
        <v>33</v>
      </c>
      <c r="BB58" s="32">
        <v>3.1279899907097369E-2</v>
      </c>
    </row>
    <row r="59" spans="1:54" ht="13" x14ac:dyDescent="0.15">
      <c r="A59" s="1" t="s">
        <v>325</v>
      </c>
      <c r="B59" s="6">
        <v>53</v>
      </c>
      <c r="C59" s="6">
        <f>IF(Form_Responses1[[#This Row],[gioi_tinh]]="Nữ", 0, 1)</f>
        <v>0</v>
      </c>
      <c r="D59" s="1" t="s">
        <v>20</v>
      </c>
      <c r="E59" s="6">
        <v>19.5</v>
      </c>
      <c r="F59" s="6">
        <f>IF(Form_Responses1[[#This Row],[dai_thao_duong]]="Không", 0, 1)</f>
        <v>0</v>
      </c>
      <c r="G59" s="1" t="s">
        <v>21</v>
      </c>
      <c r="H59" s="6">
        <f t="shared" si="0"/>
        <v>0</v>
      </c>
      <c r="I59" s="1" t="s">
        <v>21</v>
      </c>
      <c r="J59" s="6">
        <f>IF(Form_Responses1[[#This Row],[hoi_chung_vanh_man]]="Không", 0, 1)</f>
        <v>0</v>
      </c>
      <c r="K59" s="1" t="s">
        <v>21</v>
      </c>
      <c r="L59" s="6">
        <f>IF(Form_Responses1[[#This Row],[ckd]]="Không", 0, 1)</f>
        <v>0</v>
      </c>
      <c r="M59" s="1" t="s">
        <v>21</v>
      </c>
      <c r="N59" s="6">
        <f t="shared" si="1"/>
        <v>0</v>
      </c>
      <c r="O59" s="1" t="s">
        <v>21</v>
      </c>
      <c r="P59" s="6">
        <f>IF(Form_Responses1[[#This Row],[phan_loai_the_lam_sang]]="Suy tim mất bù cấp", 1,0)</f>
        <v>0</v>
      </c>
      <c r="Q59" s="6">
        <f>IF(Form_Responses1[[#This Row],[phan_loai_the_lam_sang]]="Phù phổi cấp", 1, 0)</f>
        <v>1</v>
      </c>
      <c r="R59" s="6">
        <f>IF(Form_Responses1[[#This Row],[phan_loai_the_lam_sang]]="Choáng tim", 1, 0)</f>
        <v>0</v>
      </c>
      <c r="S59" s="1" t="s">
        <v>45</v>
      </c>
      <c r="T59" s="6">
        <v>93</v>
      </c>
      <c r="U59" s="6">
        <v>110</v>
      </c>
      <c r="V59" s="6">
        <v>80</v>
      </c>
      <c r="W59" s="6">
        <f>IF(Form_Responses1[[#This Row],[hcvc]]="Không", 0, 1)</f>
        <v>0</v>
      </c>
      <c r="X59" s="1" t="s">
        <v>21</v>
      </c>
      <c r="Y59" s="6">
        <f>IF(Form_Responses1[[#This Row],[suy_ho_hap]]="Không", 0, 1)</f>
        <v>1</v>
      </c>
      <c r="Z59" s="1" t="s">
        <v>22</v>
      </c>
      <c r="AA59" s="6">
        <f>IF(Form_Responses1[[#This Row],[rung_nhi]]="Không", 0, 1)</f>
        <v>0</v>
      </c>
      <c r="AB59" s="1" t="s">
        <v>21</v>
      </c>
      <c r="AC59" s="6">
        <v>482</v>
      </c>
      <c r="AD59" s="6">
        <v>0.08</v>
      </c>
      <c r="AE59" s="6">
        <v>14.8</v>
      </c>
      <c r="AF59" s="6">
        <v>130</v>
      </c>
      <c r="AG59" s="6">
        <v>225</v>
      </c>
      <c r="AH59" s="6">
        <v>123</v>
      </c>
      <c r="AI59" s="6">
        <v>3.7</v>
      </c>
      <c r="AJ59" s="6">
        <v>7.9</v>
      </c>
      <c r="AK59" s="6">
        <v>0.99</v>
      </c>
      <c r="AL59" s="1" t="s">
        <v>21</v>
      </c>
      <c r="AM59" s="1">
        <v>4728.55</v>
      </c>
      <c r="AN59" s="6">
        <f>IF(Form_Responses1[[#This Row],[NT_proBNP &gt; 35000]]="Có", 35001, Form_Responses1[[#This Row],[NT_ProBNP]])</f>
        <v>4728.55</v>
      </c>
      <c r="AO59" s="6">
        <f>IF(Form_Responses1[[#This Row],[NT_proBNP &gt; 35000]]="Có", 1, 0)</f>
        <v>0</v>
      </c>
      <c r="AP59" s="6">
        <v>10.130000000000001</v>
      </c>
      <c r="AQ59" s="6">
        <v>66</v>
      </c>
      <c r="AR59" s="6">
        <v>67</v>
      </c>
      <c r="AS59" s="6">
        <v>122</v>
      </c>
      <c r="AT59" s="6">
        <v>49</v>
      </c>
      <c r="AU59" s="6">
        <v>25.9</v>
      </c>
      <c r="AV59" s="6">
        <v>34.5</v>
      </c>
      <c r="AW59" s="6">
        <v>50</v>
      </c>
      <c r="AX59" s="13"/>
      <c r="AY59" s="23">
        <f>IF(Form_Responses1[[#This Row],[ket_cuc]]="Không tử vong", 0, 1)</f>
        <v>0</v>
      </c>
      <c r="AZ59" s="1" t="s">
        <v>24</v>
      </c>
      <c r="BA59" s="32">
        <v>39</v>
      </c>
      <c r="BB59" s="32">
        <v>3.4098120156436013E-2</v>
      </c>
    </row>
    <row r="60" spans="1:54" ht="13" x14ac:dyDescent="0.15">
      <c r="A60" s="2" t="s">
        <v>80</v>
      </c>
      <c r="B60" s="15">
        <v>48</v>
      </c>
      <c r="C60" s="15">
        <f>IF(Form_Responses1[[#This Row],[gioi_tinh]]="Nữ", 0, 1)</f>
        <v>0</v>
      </c>
      <c r="D60" s="2" t="s">
        <v>20</v>
      </c>
      <c r="E60" s="15">
        <v>22</v>
      </c>
      <c r="F60" s="15">
        <f>IF(Form_Responses1[[#This Row],[dai_thao_duong]]="Không", 0, 1)</f>
        <v>0</v>
      </c>
      <c r="G60" s="2" t="s">
        <v>21</v>
      </c>
      <c r="H60" s="15">
        <f t="shared" si="0"/>
        <v>1</v>
      </c>
      <c r="I60" s="2" t="s">
        <v>22</v>
      </c>
      <c r="J60" s="15">
        <f>IF(Form_Responses1[[#This Row],[hoi_chung_vanh_man]]="Không", 0, 1)</f>
        <v>0</v>
      </c>
      <c r="K60" s="2" t="s">
        <v>21</v>
      </c>
      <c r="L60" s="15">
        <f>IF(Form_Responses1[[#This Row],[ckd]]="Không", 0, 1)</f>
        <v>0</v>
      </c>
      <c r="M60" s="2" t="s">
        <v>21</v>
      </c>
      <c r="N60" s="15">
        <f t="shared" si="1"/>
        <v>0</v>
      </c>
      <c r="O60" s="2" t="s">
        <v>21</v>
      </c>
      <c r="P60" s="15">
        <f>IF(Form_Responses1[[#This Row],[phan_loai_the_lam_sang]]="Suy tim mất bù cấp", 1,0)</f>
        <v>0</v>
      </c>
      <c r="Q60" s="15">
        <f>IF(Form_Responses1[[#This Row],[phan_loai_the_lam_sang]]="Phù phổi cấp", 1, 0)</f>
        <v>1</v>
      </c>
      <c r="R60" s="15">
        <f>IF(Form_Responses1[[#This Row],[phan_loai_the_lam_sang]]="Choáng tim", 1, 0)</f>
        <v>0</v>
      </c>
      <c r="S60" s="2" t="s">
        <v>45</v>
      </c>
      <c r="T60" s="15">
        <v>120</v>
      </c>
      <c r="U60" s="15">
        <v>280</v>
      </c>
      <c r="V60" s="15">
        <v>100</v>
      </c>
      <c r="W60" s="15">
        <f>IF(Form_Responses1[[#This Row],[hcvc]]="Không", 0, 1)</f>
        <v>0</v>
      </c>
      <c r="X60" s="2" t="s">
        <v>21</v>
      </c>
      <c r="Y60" s="15">
        <f>IF(Form_Responses1[[#This Row],[suy_ho_hap]]="Không", 0, 1)</f>
        <v>1</v>
      </c>
      <c r="Z60" s="2" t="s">
        <v>22</v>
      </c>
      <c r="AA60" s="15">
        <f>IF(Form_Responses1[[#This Row],[rung_nhi]]="Không", 0, 1)</f>
        <v>0</v>
      </c>
      <c r="AB60" s="2" t="s">
        <v>21</v>
      </c>
      <c r="AC60" s="15">
        <v>422</v>
      </c>
      <c r="AD60" s="15">
        <v>0.08</v>
      </c>
      <c r="AE60" s="15">
        <v>13.62</v>
      </c>
      <c r="AF60" s="15">
        <v>136</v>
      </c>
      <c r="AG60" s="15">
        <v>281</v>
      </c>
      <c r="AH60" s="15">
        <v>133</v>
      </c>
      <c r="AI60" s="15">
        <v>2.8</v>
      </c>
      <c r="AJ60" s="15">
        <v>8</v>
      </c>
      <c r="AK60" s="15">
        <v>0.71</v>
      </c>
      <c r="AL60" s="2" t="s">
        <v>21</v>
      </c>
      <c r="AM60" s="28">
        <v>1584.3</v>
      </c>
      <c r="AN60" s="6">
        <f>IF(Form_Responses1[[#This Row],[NT_proBNP &gt; 35000]]="Có", 35001, Form_Responses1[[#This Row],[NT_ProBNP]])</f>
        <v>1584.3</v>
      </c>
      <c r="AO60" s="27">
        <f>IF(Form_Responses1[[#This Row],[NT_proBNP &gt; 35000]]="Có", 1, 0)</f>
        <v>0</v>
      </c>
      <c r="AP60" s="15">
        <v>148.38999999999999</v>
      </c>
      <c r="AQ60" s="15">
        <v>17</v>
      </c>
      <c r="AR60" s="15">
        <v>13</v>
      </c>
      <c r="AS60" s="15">
        <v>147</v>
      </c>
      <c r="AT60" s="27">
        <v>40</v>
      </c>
      <c r="AU60" s="27">
        <v>37.6</v>
      </c>
      <c r="AV60" s="15">
        <v>50.6</v>
      </c>
      <c r="AW60" s="15">
        <v>50</v>
      </c>
      <c r="AX60" s="15">
        <v>31</v>
      </c>
      <c r="AY60" s="22">
        <f>IF(Form_Responses1[[#This Row],[ket_cuc]]="Không tử vong", 0, 1)</f>
        <v>0</v>
      </c>
      <c r="AZ60" s="2" t="s">
        <v>24</v>
      </c>
      <c r="BA60" s="32">
        <v>22</v>
      </c>
      <c r="BB60" s="32">
        <v>2.8860394787000733E-2</v>
      </c>
    </row>
    <row r="61" spans="1:54" ht="13" x14ac:dyDescent="0.15">
      <c r="A61" s="1" t="s">
        <v>344</v>
      </c>
      <c r="B61" s="6">
        <v>81</v>
      </c>
      <c r="C61" s="6">
        <f>IF(Form_Responses1[[#This Row],[gioi_tinh]]="Nữ", 0, 1)</f>
        <v>1</v>
      </c>
      <c r="D61" s="1" t="s">
        <v>26</v>
      </c>
      <c r="E61" s="6">
        <v>22.9</v>
      </c>
      <c r="F61" s="6">
        <f>IF(Form_Responses1[[#This Row],[dai_thao_duong]]="Không", 0, 1)</f>
        <v>0</v>
      </c>
      <c r="G61" s="1" t="s">
        <v>21</v>
      </c>
      <c r="H61" s="6">
        <f t="shared" si="0"/>
        <v>1</v>
      </c>
      <c r="I61" s="1" t="s">
        <v>22</v>
      </c>
      <c r="J61" s="6">
        <f>IF(Form_Responses1[[#This Row],[hoi_chung_vanh_man]]="Không", 0, 1)</f>
        <v>0</v>
      </c>
      <c r="K61" s="1" t="s">
        <v>21</v>
      </c>
      <c r="L61" s="6">
        <f>IF(Form_Responses1[[#This Row],[ckd]]="Không", 0, 1)</f>
        <v>1</v>
      </c>
      <c r="M61" s="1" t="s">
        <v>22</v>
      </c>
      <c r="N61" s="6">
        <f t="shared" si="1"/>
        <v>0</v>
      </c>
      <c r="O61" s="1" t="s">
        <v>21</v>
      </c>
      <c r="P61" s="6">
        <f>IF(Form_Responses1[[#This Row],[phan_loai_the_lam_sang]]="Suy tim mất bù cấp", 1,0)</f>
        <v>0</v>
      </c>
      <c r="Q61" s="6">
        <f>IF(Form_Responses1[[#This Row],[phan_loai_the_lam_sang]]="Phù phổi cấp", 1, 0)</f>
        <v>1</v>
      </c>
      <c r="R61" s="6">
        <f>IF(Form_Responses1[[#This Row],[phan_loai_the_lam_sang]]="Choáng tim", 1, 0)</f>
        <v>0</v>
      </c>
      <c r="S61" s="1" t="s">
        <v>45</v>
      </c>
      <c r="T61" s="6">
        <v>92</v>
      </c>
      <c r="U61" s="6">
        <v>160</v>
      </c>
      <c r="V61" s="6">
        <v>90</v>
      </c>
      <c r="W61" s="6">
        <f>IF(Form_Responses1[[#This Row],[hcvc]]="Không", 0, 1)</f>
        <v>1</v>
      </c>
      <c r="X61" s="1" t="s">
        <v>22</v>
      </c>
      <c r="Y61" s="6">
        <f>IF(Form_Responses1[[#This Row],[suy_ho_hap]]="Không", 0, 1)</f>
        <v>1</v>
      </c>
      <c r="Z61" s="1" t="s">
        <v>22</v>
      </c>
      <c r="AA61" s="6">
        <f>IF(Form_Responses1[[#This Row],[rung_nhi]]="Không", 0, 1)</f>
        <v>0</v>
      </c>
      <c r="AB61" s="1" t="s">
        <v>21</v>
      </c>
      <c r="AC61" s="6">
        <v>377</v>
      </c>
      <c r="AD61" s="6">
        <v>7.0000000000000007E-2</v>
      </c>
      <c r="AE61" s="6">
        <v>13.19</v>
      </c>
      <c r="AF61" s="6">
        <v>107</v>
      </c>
      <c r="AG61" s="6">
        <v>222</v>
      </c>
      <c r="AH61" s="6">
        <v>141</v>
      </c>
      <c r="AI61" s="6">
        <v>5</v>
      </c>
      <c r="AJ61" s="6">
        <v>89</v>
      </c>
      <c r="AK61" s="6">
        <v>3.79</v>
      </c>
      <c r="AL61" s="1" t="s">
        <v>22</v>
      </c>
      <c r="AM61" s="10"/>
      <c r="AN61" s="6">
        <f>IF(Form_Responses1[[#This Row],[NT_proBNP &gt; 35000]]="Có", 35001, Form_Responses1[[#This Row],[NT_ProBNP]])</f>
        <v>35001</v>
      </c>
      <c r="AO61" s="13">
        <f>IF(Form_Responses1[[#This Row],[NT_proBNP &gt; 35000]]="Có", 1, 0)</f>
        <v>1</v>
      </c>
      <c r="AP61" s="6">
        <v>2301.1999999999998</v>
      </c>
      <c r="AQ61" s="6">
        <v>40</v>
      </c>
      <c r="AR61" s="6">
        <v>20</v>
      </c>
      <c r="AS61" s="6">
        <v>154</v>
      </c>
      <c r="AT61" s="13"/>
      <c r="AU61" s="6">
        <v>44.3</v>
      </c>
      <c r="AV61" s="6">
        <v>60.6</v>
      </c>
      <c r="AW61" s="6">
        <v>50</v>
      </c>
      <c r="AX61" s="6">
        <v>52</v>
      </c>
      <c r="AY61" s="24">
        <f>IF(Form_Responses1[[#This Row],[ket_cuc]]="Không tử vong", 0, 1)</f>
        <v>0</v>
      </c>
      <c r="AZ61" s="1" t="s">
        <v>24</v>
      </c>
      <c r="BA61" s="32">
        <v>49</v>
      </c>
      <c r="BB61" s="32">
        <v>0.26440454818733355</v>
      </c>
    </row>
    <row r="62" spans="1:54" ht="13" x14ac:dyDescent="0.15">
      <c r="A62" s="2" t="s">
        <v>303</v>
      </c>
      <c r="B62" s="15">
        <v>36</v>
      </c>
      <c r="C62" s="15">
        <f>IF(Form_Responses1[[#This Row],[gioi_tinh]]="Nữ", 0, 1)</f>
        <v>1</v>
      </c>
      <c r="D62" s="2" t="s">
        <v>26</v>
      </c>
      <c r="E62" s="15">
        <v>20.3</v>
      </c>
      <c r="F62" s="15">
        <f>IF(Form_Responses1[[#This Row],[dai_thao_duong]]="Không", 0, 1)</f>
        <v>0</v>
      </c>
      <c r="G62" s="2" t="s">
        <v>21</v>
      </c>
      <c r="H62" s="15">
        <f t="shared" si="0"/>
        <v>1</v>
      </c>
      <c r="I62" s="2" t="s">
        <v>22</v>
      </c>
      <c r="J62" s="15">
        <f>IF(Form_Responses1[[#This Row],[hoi_chung_vanh_man]]="Không", 0, 1)</f>
        <v>0</v>
      </c>
      <c r="K62" s="2" t="s">
        <v>21</v>
      </c>
      <c r="L62" s="15">
        <f>IF(Form_Responses1[[#This Row],[ckd]]="Không", 0, 1)</f>
        <v>0</v>
      </c>
      <c r="M62" s="2" t="s">
        <v>21</v>
      </c>
      <c r="N62" s="15">
        <f t="shared" si="1"/>
        <v>0</v>
      </c>
      <c r="O62" s="2" t="s">
        <v>21</v>
      </c>
      <c r="P62" s="15">
        <f>IF(Form_Responses1[[#This Row],[phan_loai_the_lam_sang]]="Suy tim mất bù cấp", 1,0)</f>
        <v>1</v>
      </c>
      <c r="Q62" s="15">
        <f>IF(Form_Responses1[[#This Row],[phan_loai_the_lam_sang]]="Phù phổi cấp", 1, 0)</f>
        <v>0</v>
      </c>
      <c r="R62" s="15">
        <f>IF(Form_Responses1[[#This Row],[phan_loai_the_lam_sang]]="Choáng tim", 1, 0)</f>
        <v>0</v>
      </c>
      <c r="S62" s="2" t="s">
        <v>23</v>
      </c>
      <c r="T62" s="15">
        <v>108</v>
      </c>
      <c r="U62" s="15">
        <v>120</v>
      </c>
      <c r="V62" s="15">
        <v>80</v>
      </c>
      <c r="W62" s="15">
        <f>IF(Form_Responses1[[#This Row],[hcvc]]="Không", 0, 1)</f>
        <v>0</v>
      </c>
      <c r="X62" s="2" t="s">
        <v>21</v>
      </c>
      <c r="Y62" s="15">
        <f>IF(Form_Responses1[[#This Row],[suy_ho_hap]]="Không", 0, 1)</f>
        <v>0</v>
      </c>
      <c r="Z62" s="2" t="s">
        <v>21</v>
      </c>
      <c r="AA62" s="15">
        <f>IF(Form_Responses1[[#This Row],[rung_nhi]]="Không", 0, 1)</f>
        <v>0</v>
      </c>
      <c r="AB62" s="2" t="s">
        <v>21</v>
      </c>
      <c r="AC62" s="15">
        <v>481</v>
      </c>
      <c r="AD62" s="15">
        <v>0.11</v>
      </c>
      <c r="AE62" s="15">
        <v>7.53</v>
      </c>
      <c r="AF62" s="15">
        <v>139</v>
      </c>
      <c r="AG62" s="15">
        <v>139</v>
      </c>
      <c r="AH62" s="15">
        <v>124</v>
      </c>
      <c r="AI62" s="15">
        <v>3.8</v>
      </c>
      <c r="AJ62" s="15">
        <v>18.2</v>
      </c>
      <c r="AK62" s="15">
        <v>1.4</v>
      </c>
      <c r="AL62" s="2" t="s">
        <v>21</v>
      </c>
      <c r="AM62" s="28">
        <v>14492.5</v>
      </c>
      <c r="AN62" s="6">
        <f>IF(Form_Responses1[[#This Row],[NT_proBNP &gt; 35000]]="Có", 35001, Form_Responses1[[#This Row],[NT_ProBNP]])</f>
        <v>14492.5</v>
      </c>
      <c r="AO62" s="27">
        <f>IF(Form_Responses1[[#This Row],[NT_proBNP &gt; 35000]]="Có", 1, 0)</f>
        <v>0</v>
      </c>
      <c r="AP62" s="18"/>
      <c r="AQ62" s="15">
        <v>926</v>
      </c>
      <c r="AR62" s="15">
        <v>1279</v>
      </c>
      <c r="AS62" s="15">
        <v>94</v>
      </c>
      <c r="AT62" s="15">
        <v>54.6</v>
      </c>
      <c r="AU62" s="15">
        <v>43</v>
      </c>
      <c r="AV62" s="15">
        <v>70</v>
      </c>
      <c r="AW62" s="15">
        <v>50</v>
      </c>
      <c r="AX62" s="15">
        <v>35</v>
      </c>
      <c r="AY62" s="22">
        <f>IF(Form_Responses1[[#This Row],[ket_cuc]]="Không tử vong", 0, 1)</f>
        <v>0</v>
      </c>
      <c r="AZ62" s="2" t="s">
        <v>24</v>
      </c>
      <c r="BA62" s="32">
        <v>38</v>
      </c>
      <c r="BB62" s="32">
        <v>3.1720427075116957E-2</v>
      </c>
    </row>
    <row r="63" spans="1:54" ht="13" x14ac:dyDescent="0.15">
      <c r="A63" s="1" t="s">
        <v>115</v>
      </c>
      <c r="B63" s="6">
        <v>47</v>
      </c>
      <c r="C63" s="6">
        <f>IF(Form_Responses1[[#This Row],[gioi_tinh]]="Nữ", 0, 1)</f>
        <v>1</v>
      </c>
      <c r="D63" s="1" t="s">
        <v>26</v>
      </c>
      <c r="E63" s="6">
        <v>18</v>
      </c>
      <c r="F63" s="6">
        <f>IF(Form_Responses1[[#This Row],[dai_thao_duong]]="Không", 0, 1)</f>
        <v>0</v>
      </c>
      <c r="G63" s="1" t="s">
        <v>21</v>
      </c>
      <c r="H63" s="6">
        <f t="shared" si="0"/>
        <v>0</v>
      </c>
      <c r="I63" s="1" t="s">
        <v>21</v>
      </c>
      <c r="J63" s="6">
        <f>IF(Form_Responses1[[#This Row],[hoi_chung_vanh_man]]="Không", 0, 1)</f>
        <v>0</v>
      </c>
      <c r="K63" s="1" t="s">
        <v>21</v>
      </c>
      <c r="L63" s="6">
        <f>IF(Form_Responses1[[#This Row],[ckd]]="Không", 0, 1)</f>
        <v>0</v>
      </c>
      <c r="M63" s="1" t="s">
        <v>21</v>
      </c>
      <c r="N63" s="6">
        <f t="shared" si="1"/>
        <v>0</v>
      </c>
      <c r="O63" s="1" t="s">
        <v>21</v>
      </c>
      <c r="P63" s="6">
        <f>IF(Form_Responses1[[#This Row],[phan_loai_the_lam_sang]]="Suy tim mất bù cấp", 1,0)</f>
        <v>0</v>
      </c>
      <c r="Q63" s="6">
        <f>IF(Form_Responses1[[#This Row],[phan_loai_the_lam_sang]]="Phù phổi cấp", 1, 0)</f>
        <v>1</v>
      </c>
      <c r="R63" s="6">
        <f>IF(Form_Responses1[[#This Row],[phan_loai_the_lam_sang]]="Choáng tim", 1, 0)</f>
        <v>0</v>
      </c>
      <c r="S63" s="1" t="s">
        <v>45</v>
      </c>
      <c r="T63" s="6">
        <v>106</v>
      </c>
      <c r="U63" s="6">
        <v>180</v>
      </c>
      <c r="V63" s="6">
        <v>100</v>
      </c>
      <c r="W63" s="6">
        <f>IF(Form_Responses1[[#This Row],[hcvc]]="Không", 0, 1)</f>
        <v>0</v>
      </c>
      <c r="X63" s="1" t="s">
        <v>21</v>
      </c>
      <c r="Y63" s="6">
        <f>IF(Form_Responses1[[#This Row],[suy_ho_hap]]="Không", 0, 1)</f>
        <v>1</v>
      </c>
      <c r="Z63" s="1" t="s">
        <v>22</v>
      </c>
      <c r="AA63" s="6">
        <f>IF(Form_Responses1[[#This Row],[rung_nhi]]="Không", 0, 1)</f>
        <v>0</v>
      </c>
      <c r="AB63" s="1" t="s">
        <v>21</v>
      </c>
      <c r="AC63" s="6">
        <v>478</v>
      </c>
      <c r="AD63" s="6">
        <v>0.11</v>
      </c>
      <c r="AE63" s="6">
        <v>7.37</v>
      </c>
      <c r="AF63" s="6">
        <v>104</v>
      </c>
      <c r="AG63" s="6">
        <v>159</v>
      </c>
      <c r="AH63" s="6">
        <v>130</v>
      </c>
      <c r="AI63" s="6">
        <v>2.5</v>
      </c>
      <c r="AJ63" s="6">
        <v>12.6</v>
      </c>
      <c r="AK63" s="6">
        <v>2.27</v>
      </c>
      <c r="AL63" s="1" t="s">
        <v>21</v>
      </c>
      <c r="AM63" s="1">
        <v>10368.1</v>
      </c>
      <c r="AN63" s="6">
        <f>IF(Form_Responses1[[#This Row],[NT_proBNP &gt; 35000]]="Có", 35001, Form_Responses1[[#This Row],[NT_ProBNP]])</f>
        <v>10368.1</v>
      </c>
      <c r="AO63" s="6">
        <f>IF(Form_Responses1[[#This Row],[NT_proBNP &gt; 35000]]="Có", 1, 0)</f>
        <v>0</v>
      </c>
      <c r="AP63" s="6">
        <v>106.9</v>
      </c>
      <c r="AQ63" s="6">
        <v>17</v>
      </c>
      <c r="AR63" s="6">
        <v>10</v>
      </c>
      <c r="AS63" s="6">
        <v>132</v>
      </c>
      <c r="AT63" s="6">
        <v>37.4</v>
      </c>
      <c r="AU63" s="6">
        <v>37.1</v>
      </c>
      <c r="AV63" s="6">
        <v>47.1</v>
      </c>
      <c r="AW63" s="6">
        <v>49</v>
      </c>
      <c r="AX63" s="13"/>
      <c r="AY63" s="23">
        <f>IF(Form_Responses1[[#This Row],[ket_cuc]]="Không tử vong", 0, 1)</f>
        <v>0</v>
      </c>
      <c r="AZ63" s="1" t="s">
        <v>24</v>
      </c>
      <c r="BA63" s="32">
        <v>29</v>
      </c>
      <c r="BB63" s="32">
        <v>2.5814132530654402E-2</v>
      </c>
    </row>
    <row r="64" spans="1:54" ht="13" x14ac:dyDescent="0.15">
      <c r="A64" s="2" t="s">
        <v>116</v>
      </c>
      <c r="B64" s="15">
        <v>57</v>
      </c>
      <c r="C64" s="15">
        <f>IF(Form_Responses1[[#This Row],[gioi_tinh]]="Nữ", 0, 1)</f>
        <v>0</v>
      </c>
      <c r="D64" s="2" t="s">
        <v>20</v>
      </c>
      <c r="E64" s="15">
        <v>19.2</v>
      </c>
      <c r="F64" s="15">
        <f>IF(Form_Responses1[[#This Row],[dai_thao_duong]]="Không", 0, 1)</f>
        <v>1</v>
      </c>
      <c r="G64" s="2" t="s">
        <v>22</v>
      </c>
      <c r="H64" s="15">
        <f t="shared" si="0"/>
        <v>1</v>
      </c>
      <c r="I64" s="2" t="s">
        <v>22</v>
      </c>
      <c r="J64" s="15">
        <f>IF(Form_Responses1[[#This Row],[hoi_chung_vanh_man]]="Không", 0, 1)</f>
        <v>1</v>
      </c>
      <c r="K64" s="2" t="s">
        <v>22</v>
      </c>
      <c r="L64" s="15">
        <f>IF(Form_Responses1[[#This Row],[ckd]]="Không", 0, 1)</f>
        <v>1</v>
      </c>
      <c r="M64" s="2" t="s">
        <v>22</v>
      </c>
      <c r="N64" s="15">
        <f t="shared" si="1"/>
        <v>0</v>
      </c>
      <c r="O64" s="2" t="s">
        <v>21</v>
      </c>
      <c r="P64" s="15">
        <f>IF(Form_Responses1[[#This Row],[phan_loai_the_lam_sang]]="Suy tim mất bù cấp", 1,0)</f>
        <v>0</v>
      </c>
      <c r="Q64" s="15">
        <f>IF(Form_Responses1[[#This Row],[phan_loai_the_lam_sang]]="Phù phổi cấp", 1, 0)</f>
        <v>1</v>
      </c>
      <c r="R64" s="15">
        <f>IF(Form_Responses1[[#This Row],[phan_loai_the_lam_sang]]="Choáng tim", 1, 0)</f>
        <v>0</v>
      </c>
      <c r="S64" s="2" t="s">
        <v>45</v>
      </c>
      <c r="T64" s="15">
        <v>73</v>
      </c>
      <c r="U64" s="15">
        <v>140</v>
      </c>
      <c r="V64" s="15">
        <v>70</v>
      </c>
      <c r="W64" s="15">
        <f>IF(Form_Responses1[[#This Row],[hcvc]]="Không", 0, 1)</f>
        <v>1</v>
      </c>
      <c r="X64" s="2" t="s">
        <v>22</v>
      </c>
      <c r="Y64" s="15">
        <f>IF(Form_Responses1[[#This Row],[suy_ho_hap]]="Không", 0, 1)</f>
        <v>1</v>
      </c>
      <c r="Z64" s="2" t="s">
        <v>22</v>
      </c>
      <c r="AA64" s="15">
        <f>IF(Form_Responses1[[#This Row],[rung_nhi]]="Không", 0, 1)</f>
        <v>0</v>
      </c>
      <c r="AB64" s="2" t="s">
        <v>21</v>
      </c>
      <c r="AC64" s="15">
        <v>413</v>
      </c>
      <c r="AD64" s="15">
        <v>0.08</v>
      </c>
      <c r="AE64" s="15">
        <v>12.7</v>
      </c>
      <c r="AF64" s="15">
        <v>100</v>
      </c>
      <c r="AG64" s="15">
        <v>364</v>
      </c>
      <c r="AH64" s="15">
        <v>122</v>
      </c>
      <c r="AI64" s="15">
        <v>4.5999999999999996</v>
      </c>
      <c r="AJ64" s="15">
        <v>23.8</v>
      </c>
      <c r="AK64" s="15">
        <v>6.71</v>
      </c>
      <c r="AL64" s="2" t="s">
        <v>22</v>
      </c>
      <c r="AM64" s="12"/>
      <c r="AN64" s="6">
        <f>IF(Form_Responses1[[#This Row],[NT_proBNP &gt; 35000]]="Có", 35001, Form_Responses1[[#This Row],[NT_ProBNP]])</f>
        <v>35001</v>
      </c>
      <c r="AO64" s="18">
        <f>IF(Form_Responses1[[#This Row],[NT_proBNP &gt; 35000]]="Có", 1, 0)</f>
        <v>1</v>
      </c>
      <c r="AP64" s="15">
        <v>9540.2000000000007</v>
      </c>
      <c r="AQ64" s="15">
        <v>17</v>
      </c>
      <c r="AR64" s="15">
        <v>8</v>
      </c>
      <c r="AS64" s="15">
        <v>527</v>
      </c>
      <c r="AT64" s="15">
        <v>38.700000000000003</v>
      </c>
      <c r="AU64" s="15">
        <v>38.799999999999997</v>
      </c>
      <c r="AV64" s="15">
        <v>51.4</v>
      </c>
      <c r="AW64" s="15">
        <v>48</v>
      </c>
      <c r="AX64" s="15">
        <v>20</v>
      </c>
      <c r="AY64" s="22">
        <f>IF(Form_Responses1[[#This Row],[ket_cuc]]="Không tử vong", 0, 1)</f>
        <v>0</v>
      </c>
      <c r="AZ64" s="2" t="s">
        <v>24</v>
      </c>
      <c r="BA64" s="32">
        <v>33</v>
      </c>
      <c r="BB64" s="32">
        <v>4.9193924277679983E-2</v>
      </c>
    </row>
    <row r="65" spans="1:54" ht="13" x14ac:dyDescent="0.15">
      <c r="A65" s="1" t="s">
        <v>199</v>
      </c>
      <c r="B65" s="6">
        <v>83</v>
      </c>
      <c r="C65" s="6">
        <f>IF(Form_Responses1[[#This Row],[gioi_tinh]]="Nữ", 0, 1)</f>
        <v>0</v>
      </c>
      <c r="D65" s="1" t="s">
        <v>20</v>
      </c>
      <c r="E65" s="6">
        <v>19.100000000000001</v>
      </c>
      <c r="F65" s="6">
        <f>IF(Form_Responses1[[#This Row],[dai_thao_duong]]="Không", 0, 1)</f>
        <v>1</v>
      </c>
      <c r="G65" s="1" t="s">
        <v>22</v>
      </c>
      <c r="H65" s="6">
        <f t="shared" si="0"/>
        <v>1</v>
      </c>
      <c r="I65" s="1" t="s">
        <v>22</v>
      </c>
      <c r="J65" s="6">
        <f>IF(Form_Responses1[[#This Row],[hoi_chung_vanh_man]]="Không", 0, 1)</f>
        <v>0</v>
      </c>
      <c r="K65" s="1" t="s">
        <v>21</v>
      </c>
      <c r="L65" s="6">
        <f>IF(Form_Responses1[[#This Row],[ckd]]="Không", 0, 1)</f>
        <v>0</v>
      </c>
      <c r="M65" s="1" t="s">
        <v>21</v>
      </c>
      <c r="N65" s="6">
        <f t="shared" si="1"/>
        <v>0</v>
      </c>
      <c r="O65" s="1" t="s">
        <v>21</v>
      </c>
      <c r="P65" s="6">
        <f>IF(Form_Responses1[[#This Row],[phan_loai_the_lam_sang]]="Suy tim mất bù cấp", 1,0)</f>
        <v>1</v>
      </c>
      <c r="Q65" s="6">
        <f>IF(Form_Responses1[[#This Row],[phan_loai_the_lam_sang]]="Phù phổi cấp", 1, 0)</f>
        <v>0</v>
      </c>
      <c r="R65" s="6">
        <f>IF(Form_Responses1[[#This Row],[phan_loai_the_lam_sang]]="Choáng tim", 1, 0)</f>
        <v>0</v>
      </c>
      <c r="S65" s="1" t="s">
        <v>23</v>
      </c>
      <c r="T65" s="6">
        <v>83</v>
      </c>
      <c r="U65" s="6">
        <v>160</v>
      </c>
      <c r="V65" s="6">
        <v>90</v>
      </c>
      <c r="W65" s="6">
        <f>IF(Form_Responses1[[#This Row],[hcvc]]="Không", 0, 1)</f>
        <v>0</v>
      </c>
      <c r="X65" s="1" t="s">
        <v>21</v>
      </c>
      <c r="Y65" s="6">
        <f>IF(Form_Responses1[[#This Row],[suy_ho_hap]]="Không", 0, 1)</f>
        <v>1</v>
      </c>
      <c r="Z65" s="1" t="s">
        <v>22</v>
      </c>
      <c r="AA65" s="6">
        <f>IF(Form_Responses1[[#This Row],[rung_nhi]]="Không", 0, 1)</f>
        <v>1</v>
      </c>
      <c r="AB65" s="1" t="s">
        <v>22</v>
      </c>
      <c r="AC65" s="6">
        <v>374</v>
      </c>
      <c r="AD65" s="6">
        <v>0.06</v>
      </c>
      <c r="AE65" s="6">
        <v>12.26</v>
      </c>
      <c r="AF65" s="6">
        <v>105</v>
      </c>
      <c r="AG65" s="6">
        <v>188</v>
      </c>
      <c r="AH65" s="6">
        <v>136</v>
      </c>
      <c r="AI65" s="6">
        <v>4.0999999999999996</v>
      </c>
      <c r="AJ65" s="6">
        <v>10</v>
      </c>
      <c r="AK65" s="6">
        <v>0.7</v>
      </c>
      <c r="AL65" s="1" t="s">
        <v>21</v>
      </c>
      <c r="AM65" s="1">
        <v>8686.2999999999993</v>
      </c>
      <c r="AN65" s="6">
        <f>IF(Form_Responses1[[#This Row],[NT_proBNP &gt; 35000]]="Có", 35001, Form_Responses1[[#This Row],[NT_ProBNP]])</f>
        <v>8686.2999999999993</v>
      </c>
      <c r="AO65" s="6">
        <f>IF(Form_Responses1[[#This Row],[NT_proBNP &gt; 35000]]="Có", 1, 0)</f>
        <v>0</v>
      </c>
      <c r="AP65" s="6">
        <v>84.3</v>
      </c>
      <c r="AQ65" s="6">
        <v>30</v>
      </c>
      <c r="AR65" s="6">
        <v>37</v>
      </c>
      <c r="AS65" s="6">
        <v>149</v>
      </c>
      <c r="AT65" s="6">
        <v>45</v>
      </c>
      <c r="AU65" s="6">
        <v>29.7</v>
      </c>
      <c r="AV65" s="6">
        <v>38</v>
      </c>
      <c r="AW65" s="6">
        <v>47</v>
      </c>
      <c r="AX65" s="6">
        <v>53</v>
      </c>
      <c r="AY65" s="24">
        <f>IF(Form_Responses1[[#This Row],[ket_cuc]]="Không tử vong", 0, 1)</f>
        <v>0</v>
      </c>
      <c r="AZ65" s="1" t="s">
        <v>24</v>
      </c>
      <c r="BA65" s="32">
        <v>35</v>
      </c>
      <c r="BB65" s="32">
        <v>5.9619605336528186E-2</v>
      </c>
    </row>
    <row r="66" spans="1:54" ht="13" x14ac:dyDescent="0.15">
      <c r="A66" s="1" t="s">
        <v>82</v>
      </c>
      <c r="B66" s="6">
        <v>61</v>
      </c>
      <c r="C66" s="6">
        <f>IF(Form_Responses1[[#This Row],[gioi_tinh]]="Nữ", 0, 1)</f>
        <v>1</v>
      </c>
      <c r="D66" s="1" t="s">
        <v>26</v>
      </c>
      <c r="E66" s="6">
        <v>23</v>
      </c>
      <c r="F66" s="6">
        <f>IF(Form_Responses1[[#This Row],[dai_thao_duong]]="Không", 0, 1)</f>
        <v>0</v>
      </c>
      <c r="G66" s="1" t="s">
        <v>21</v>
      </c>
      <c r="H66" s="6">
        <f t="shared" ref="H66:H129" si="2">IF(I66="Có", 1, 0)</f>
        <v>0</v>
      </c>
      <c r="I66" s="1" t="s">
        <v>21</v>
      </c>
      <c r="J66" s="6">
        <f>IF(Form_Responses1[[#This Row],[hoi_chung_vanh_man]]="Không", 0, 1)</f>
        <v>0</v>
      </c>
      <c r="K66" s="1" t="s">
        <v>21</v>
      </c>
      <c r="L66" s="6">
        <f>IF(Form_Responses1[[#This Row],[ckd]]="Không", 0, 1)</f>
        <v>0</v>
      </c>
      <c r="M66" s="1" t="s">
        <v>21</v>
      </c>
      <c r="N66" s="6">
        <f t="shared" ref="N66:N129" si="3">IF(O66="Không", 0, 1)</f>
        <v>0</v>
      </c>
      <c r="O66" s="1" t="s">
        <v>21</v>
      </c>
      <c r="P66" s="6">
        <f>IF(Form_Responses1[[#This Row],[phan_loai_the_lam_sang]]="Suy tim mất bù cấp", 1,0)</f>
        <v>0</v>
      </c>
      <c r="Q66" s="6">
        <f>IF(Form_Responses1[[#This Row],[phan_loai_the_lam_sang]]="Phù phổi cấp", 1, 0)</f>
        <v>1</v>
      </c>
      <c r="R66" s="6">
        <f>IF(Form_Responses1[[#This Row],[phan_loai_the_lam_sang]]="Choáng tim", 1, 0)</f>
        <v>0</v>
      </c>
      <c r="S66" s="1" t="s">
        <v>45</v>
      </c>
      <c r="T66" s="6">
        <v>116</v>
      </c>
      <c r="U66" s="6">
        <v>200</v>
      </c>
      <c r="V66" s="6">
        <v>100</v>
      </c>
      <c r="W66" s="6">
        <f>IF(Form_Responses1[[#This Row],[hcvc]]="Không", 0, 1)</f>
        <v>0</v>
      </c>
      <c r="X66" s="1" t="s">
        <v>21</v>
      </c>
      <c r="Y66" s="6">
        <f>IF(Form_Responses1[[#This Row],[suy_ho_hap]]="Không", 0, 1)</f>
        <v>1</v>
      </c>
      <c r="Z66" s="1" t="s">
        <v>22</v>
      </c>
      <c r="AA66" s="6">
        <f>IF(Form_Responses1[[#This Row],[rung_nhi]]="Không", 0, 1)</f>
        <v>0</v>
      </c>
      <c r="AB66" s="1" t="s">
        <v>21</v>
      </c>
      <c r="AC66" s="6">
        <v>413</v>
      </c>
      <c r="AD66" s="6">
        <v>0.05</v>
      </c>
      <c r="AE66" s="6">
        <v>18.260000000000002</v>
      </c>
      <c r="AF66" s="6">
        <v>94</v>
      </c>
      <c r="AG66" s="6">
        <v>370</v>
      </c>
      <c r="AH66" s="6">
        <v>140</v>
      </c>
      <c r="AI66" s="6">
        <v>4.0999999999999996</v>
      </c>
      <c r="AJ66" s="6">
        <v>8.4</v>
      </c>
      <c r="AK66" s="6">
        <v>1.08</v>
      </c>
      <c r="AL66" s="1" t="s">
        <v>21</v>
      </c>
      <c r="AM66" s="1">
        <v>2231.3000000000002</v>
      </c>
      <c r="AN66" s="6">
        <f>IF(Form_Responses1[[#This Row],[NT_proBNP &gt; 35000]]="Có", 35001, Form_Responses1[[#This Row],[NT_ProBNP]])</f>
        <v>2231.3000000000002</v>
      </c>
      <c r="AO66" s="6">
        <f>IF(Form_Responses1[[#This Row],[NT_proBNP &gt; 35000]]="Có", 1, 0)</f>
        <v>0</v>
      </c>
      <c r="AP66" s="6">
        <v>288.60000000000002</v>
      </c>
      <c r="AQ66" s="6">
        <v>25</v>
      </c>
      <c r="AR66" s="6">
        <v>23</v>
      </c>
      <c r="AS66" s="6">
        <v>202</v>
      </c>
      <c r="AT66" s="6">
        <v>42</v>
      </c>
      <c r="AU66" s="6">
        <v>45</v>
      </c>
      <c r="AV66" s="6">
        <v>59</v>
      </c>
      <c r="AW66" s="6">
        <v>47</v>
      </c>
      <c r="AX66" s="6">
        <v>45</v>
      </c>
      <c r="AY66" s="24">
        <f>IF(Form_Responses1[[#This Row],[ket_cuc]]="Không tử vong", 0, 1)</f>
        <v>0</v>
      </c>
      <c r="AZ66" s="1" t="s">
        <v>24</v>
      </c>
      <c r="BA66" s="32">
        <v>25</v>
      </c>
      <c r="BB66" s="32">
        <v>3.9714281694426638E-2</v>
      </c>
    </row>
    <row r="67" spans="1:54" ht="13" x14ac:dyDescent="0.15">
      <c r="A67" s="2" t="s">
        <v>121</v>
      </c>
      <c r="B67" s="15">
        <v>90</v>
      </c>
      <c r="C67" s="15">
        <f>IF(Form_Responses1[[#This Row],[gioi_tinh]]="Nữ", 0, 1)</f>
        <v>0</v>
      </c>
      <c r="D67" s="2" t="s">
        <v>20</v>
      </c>
      <c r="E67" s="15">
        <v>22.5</v>
      </c>
      <c r="F67" s="15">
        <f>IF(Form_Responses1[[#This Row],[dai_thao_duong]]="Không", 0, 1)</f>
        <v>1</v>
      </c>
      <c r="G67" s="2" t="s">
        <v>22</v>
      </c>
      <c r="H67" s="15">
        <f t="shared" si="2"/>
        <v>1</v>
      </c>
      <c r="I67" s="2" t="s">
        <v>22</v>
      </c>
      <c r="J67" s="15">
        <f>IF(Form_Responses1[[#This Row],[hoi_chung_vanh_man]]="Không", 0, 1)</f>
        <v>0</v>
      </c>
      <c r="K67" s="2" t="s">
        <v>21</v>
      </c>
      <c r="L67" s="15">
        <f>IF(Form_Responses1[[#This Row],[ckd]]="Không", 0, 1)</f>
        <v>0</v>
      </c>
      <c r="M67" s="2" t="s">
        <v>21</v>
      </c>
      <c r="N67" s="15">
        <f t="shared" si="3"/>
        <v>0</v>
      </c>
      <c r="O67" s="2" t="s">
        <v>21</v>
      </c>
      <c r="P67" s="15">
        <f>IF(Form_Responses1[[#This Row],[phan_loai_the_lam_sang]]="Suy tim mất bù cấp", 1,0)</f>
        <v>0</v>
      </c>
      <c r="Q67" s="15">
        <f>IF(Form_Responses1[[#This Row],[phan_loai_the_lam_sang]]="Phù phổi cấp", 1, 0)</f>
        <v>1</v>
      </c>
      <c r="R67" s="15">
        <f>IF(Form_Responses1[[#This Row],[phan_loai_the_lam_sang]]="Choáng tim", 1, 0)</f>
        <v>0</v>
      </c>
      <c r="S67" s="2" t="s">
        <v>45</v>
      </c>
      <c r="T67" s="15">
        <v>80</v>
      </c>
      <c r="U67" s="15">
        <v>140</v>
      </c>
      <c r="V67" s="15">
        <v>80</v>
      </c>
      <c r="W67" s="15">
        <f>IF(Form_Responses1[[#This Row],[hcvc]]="Không", 0, 1)</f>
        <v>1</v>
      </c>
      <c r="X67" s="2" t="s">
        <v>22</v>
      </c>
      <c r="Y67" s="15">
        <f>IF(Form_Responses1[[#This Row],[suy_ho_hap]]="Không", 0, 1)</f>
        <v>1</v>
      </c>
      <c r="Z67" s="2" t="s">
        <v>22</v>
      </c>
      <c r="AA67" s="15">
        <f>IF(Form_Responses1[[#This Row],[rung_nhi]]="Không", 0, 1)</f>
        <v>0</v>
      </c>
      <c r="AB67" s="2" t="s">
        <v>21</v>
      </c>
      <c r="AC67" s="15">
        <v>436</v>
      </c>
      <c r="AD67" s="15">
        <v>0.08</v>
      </c>
      <c r="AE67" s="15">
        <v>10.37</v>
      </c>
      <c r="AF67" s="15">
        <v>112</v>
      </c>
      <c r="AG67" s="15">
        <v>229</v>
      </c>
      <c r="AH67" s="15">
        <v>138</v>
      </c>
      <c r="AI67" s="15">
        <v>3.3</v>
      </c>
      <c r="AJ67" s="15">
        <v>21</v>
      </c>
      <c r="AK67" s="15">
        <v>1.34</v>
      </c>
      <c r="AL67" s="2" t="s">
        <v>21</v>
      </c>
      <c r="AM67" s="2">
        <v>7994.5</v>
      </c>
      <c r="AN67" s="6">
        <f>IF(Form_Responses1[[#This Row],[NT_proBNP &gt; 35000]]="Có", 35001, Form_Responses1[[#This Row],[NT_ProBNP]])</f>
        <v>7994.5</v>
      </c>
      <c r="AO67" s="15">
        <f>IF(Form_Responses1[[#This Row],[NT_proBNP &gt; 35000]]="Có", 1, 0)</f>
        <v>0</v>
      </c>
      <c r="AP67" s="15">
        <v>1005.2</v>
      </c>
      <c r="AQ67" s="15">
        <v>25</v>
      </c>
      <c r="AR67" s="15">
        <v>18</v>
      </c>
      <c r="AS67" s="15">
        <v>144</v>
      </c>
      <c r="AU67" s="15">
        <v>31.3</v>
      </c>
      <c r="AV67" s="15">
        <v>43.7</v>
      </c>
      <c r="AW67" s="15">
        <v>47</v>
      </c>
      <c r="AX67" s="15">
        <v>30</v>
      </c>
      <c r="AY67" s="22">
        <f>IF(Form_Responses1[[#This Row],[ket_cuc]]="Không tử vong", 0, 1)</f>
        <v>0</v>
      </c>
      <c r="AZ67" s="2" t="s">
        <v>24</v>
      </c>
      <c r="BA67" s="32">
        <v>42</v>
      </c>
      <c r="BB67" s="32">
        <v>0.10240347644764834</v>
      </c>
    </row>
    <row r="68" spans="1:54" ht="13" x14ac:dyDescent="0.15">
      <c r="A68" s="2" t="s">
        <v>141</v>
      </c>
      <c r="B68" s="15">
        <v>68</v>
      </c>
      <c r="C68" s="15">
        <f>IF(Form_Responses1[[#This Row],[gioi_tinh]]="Nữ", 0, 1)</f>
        <v>0</v>
      </c>
      <c r="D68" s="2" t="s">
        <v>20</v>
      </c>
      <c r="E68" s="15">
        <v>23.4</v>
      </c>
      <c r="F68" s="15">
        <f>IF(Form_Responses1[[#This Row],[dai_thao_duong]]="Không", 0, 1)</f>
        <v>0</v>
      </c>
      <c r="G68" s="2" t="s">
        <v>21</v>
      </c>
      <c r="H68" s="15">
        <f t="shared" si="2"/>
        <v>1</v>
      </c>
      <c r="I68" s="2" t="s">
        <v>22</v>
      </c>
      <c r="J68" s="15">
        <f>IF(Form_Responses1[[#This Row],[hoi_chung_vanh_man]]="Không", 0, 1)</f>
        <v>1</v>
      </c>
      <c r="K68" s="2" t="s">
        <v>22</v>
      </c>
      <c r="L68" s="15">
        <f>IF(Form_Responses1[[#This Row],[ckd]]="Không", 0, 1)</f>
        <v>0</v>
      </c>
      <c r="M68" s="2" t="s">
        <v>21</v>
      </c>
      <c r="N68" s="15">
        <f t="shared" si="3"/>
        <v>0</v>
      </c>
      <c r="O68" s="2" t="s">
        <v>21</v>
      </c>
      <c r="P68" s="15">
        <f>IF(Form_Responses1[[#This Row],[phan_loai_the_lam_sang]]="Suy tim mất bù cấp", 1,0)</f>
        <v>0</v>
      </c>
      <c r="Q68" s="15">
        <f>IF(Form_Responses1[[#This Row],[phan_loai_the_lam_sang]]="Phù phổi cấp", 1, 0)</f>
        <v>1</v>
      </c>
      <c r="R68" s="15">
        <f>IF(Form_Responses1[[#This Row],[phan_loai_the_lam_sang]]="Choáng tim", 1, 0)</f>
        <v>0</v>
      </c>
      <c r="S68" s="2" t="s">
        <v>45</v>
      </c>
      <c r="T68" s="15">
        <v>100</v>
      </c>
      <c r="U68" s="15">
        <v>120</v>
      </c>
      <c r="V68" s="15">
        <v>70</v>
      </c>
      <c r="W68" s="15">
        <f>IF(Form_Responses1[[#This Row],[hcvc]]="Không", 0, 1)</f>
        <v>1</v>
      </c>
      <c r="X68" s="2" t="s">
        <v>22</v>
      </c>
      <c r="Y68" s="15">
        <f>IF(Form_Responses1[[#This Row],[suy_ho_hap]]="Không", 0, 1)</f>
        <v>1</v>
      </c>
      <c r="Z68" s="2" t="s">
        <v>22</v>
      </c>
      <c r="AA68" s="15">
        <f>IF(Form_Responses1[[#This Row],[rung_nhi]]="Không", 0, 1)</f>
        <v>0</v>
      </c>
      <c r="AB68" s="2" t="s">
        <v>21</v>
      </c>
      <c r="AC68" s="15">
        <v>388</v>
      </c>
      <c r="AD68" s="15">
        <v>0.09</v>
      </c>
      <c r="AE68" s="15">
        <v>12.2</v>
      </c>
      <c r="AF68" s="15">
        <v>110</v>
      </c>
      <c r="AG68" s="15">
        <v>496</v>
      </c>
      <c r="AH68" s="15">
        <v>135</v>
      </c>
      <c r="AI68" s="15">
        <v>4.3</v>
      </c>
      <c r="AJ68" s="15">
        <v>24</v>
      </c>
      <c r="AK68" s="15">
        <v>2.4300000000000002</v>
      </c>
      <c r="AL68" s="2" t="s">
        <v>22</v>
      </c>
      <c r="AM68" s="12"/>
      <c r="AN68" s="6">
        <f>IF(Form_Responses1[[#This Row],[NT_proBNP &gt; 35000]]="Có", 35001, Form_Responses1[[#This Row],[NT_ProBNP]])</f>
        <v>35001</v>
      </c>
      <c r="AO68" s="18">
        <f>IF(Form_Responses1[[#This Row],[NT_proBNP &gt; 35000]]="Có", 1, 0)</f>
        <v>1</v>
      </c>
      <c r="AP68" s="15">
        <v>15507.42</v>
      </c>
      <c r="AQ68" s="15">
        <v>102</v>
      </c>
      <c r="AR68" s="15">
        <v>37</v>
      </c>
      <c r="AS68" s="15">
        <v>96</v>
      </c>
      <c r="AT68" s="15">
        <v>32</v>
      </c>
      <c r="AU68" s="15">
        <v>35</v>
      </c>
      <c r="AV68" s="15">
        <v>47</v>
      </c>
      <c r="AW68" s="15">
        <v>47</v>
      </c>
      <c r="AX68" s="15">
        <v>48</v>
      </c>
      <c r="AY68" s="22">
        <f>IF(Form_Responses1[[#This Row],[ket_cuc]]="Không tử vong", 0, 1)</f>
        <v>1</v>
      </c>
      <c r="AZ68" s="2" t="s">
        <v>29</v>
      </c>
      <c r="BA68" s="32">
        <v>44</v>
      </c>
      <c r="BB68" s="32">
        <v>9.2222095563357878E-2</v>
      </c>
    </row>
    <row r="69" spans="1:54" ht="13" x14ac:dyDescent="0.15">
      <c r="A69" s="1" t="s">
        <v>89</v>
      </c>
      <c r="B69" s="6">
        <v>70</v>
      </c>
      <c r="C69" s="6">
        <f>IF(Form_Responses1[[#This Row],[gioi_tinh]]="Nữ", 0, 1)</f>
        <v>1</v>
      </c>
      <c r="D69" s="1" t="s">
        <v>26</v>
      </c>
      <c r="E69" s="6">
        <v>24.2</v>
      </c>
      <c r="F69" s="6">
        <f>IF(Form_Responses1[[#This Row],[dai_thao_duong]]="Không", 0, 1)</f>
        <v>1</v>
      </c>
      <c r="G69" s="1" t="s">
        <v>22</v>
      </c>
      <c r="H69" s="6">
        <f t="shared" si="2"/>
        <v>1</v>
      </c>
      <c r="I69" s="1" t="s">
        <v>22</v>
      </c>
      <c r="J69" s="6">
        <f>IF(Form_Responses1[[#This Row],[hoi_chung_vanh_man]]="Không", 0, 1)</f>
        <v>0</v>
      </c>
      <c r="K69" s="1" t="s">
        <v>21</v>
      </c>
      <c r="L69" s="6">
        <f>IF(Form_Responses1[[#This Row],[ckd]]="Không", 0, 1)</f>
        <v>1</v>
      </c>
      <c r="M69" s="1" t="s">
        <v>22</v>
      </c>
      <c r="N69" s="6">
        <f t="shared" si="3"/>
        <v>0</v>
      </c>
      <c r="O69" s="1" t="s">
        <v>21</v>
      </c>
      <c r="P69" s="6">
        <f>IF(Form_Responses1[[#This Row],[phan_loai_the_lam_sang]]="Suy tim mất bù cấp", 1,0)</f>
        <v>1</v>
      </c>
      <c r="Q69" s="6">
        <f>IF(Form_Responses1[[#This Row],[phan_loai_the_lam_sang]]="Phù phổi cấp", 1, 0)</f>
        <v>0</v>
      </c>
      <c r="R69" s="6">
        <f>IF(Form_Responses1[[#This Row],[phan_loai_the_lam_sang]]="Choáng tim", 1, 0)</f>
        <v>0</v>
      </c>
      <c r="S69" s="1" t="s">
        <v>23</v>
      </c>
      <c r="T69" s="6">
        <v>98</v>
      </c>
      <c r="U69" s="6">
        <v>130</v>
      </c>
      <c r="V69" s="6">
        <v>80</v>
      </c>
      <c r="W69" s="6">
        <f>IF(Form_Responses1[[#This Row],[hcvc]]="Không", 0, 1)</f>
        <v>0</v>
      </c>
      <c r="X69" s="1" t="s">
        <v>21</v>
      </c>
      <c r="Y69" s="6">
        <f>IF(Form_Responses1[[#This Row],[suy_ho_hap]]="Không", 0, 1)</f>
        <v>0</v>
      </c>
      <c r="Z69" s="1" t="s">
        <v>21</v>
      </c>
      <c r="AA69" s="6">
        <f>IF(Form_Responses1[[#This Row],[rung_nhi]]="Không", 0, 1)</f>
        <v>0</v>
      </c>
      <c r="AB69" s="1" t="s">
        <v>21</v>
      </c>
      <c r="AC69" s="6">
        <v>426</v>
      </c>
      <c r="AD69" s="6">
        <v>0.08</v>
      </c>
      <c r="AE69" s="6">
        <v>5.04</v>
      </c>
      <c r="AF69" s="6">
        <v>101</v>
      </c>
      <c r="AG69" s="6">
        <v>191</v>
      </c>
      <c r="AH69" s="6">
        <v>142</v>
      </c>
      <c r="AI69" s="6">
        <v>3.7</v>
      </c>
      <c r="AJ69" s="6">
        <v>31</v>
      </c>
      <c r="AK69" s="6">
        <v>3.49</v>
      </c>
      <c r="AL69" s="1" t="s">
        <v>21</v>
      </c>
      <c r="AM69" s="28">
        <v>7189.8</v>
      </c>
      <c r="AN69" s="6">
        <f>IF(Form_Responses1[[#This Row],[NT_proBNP &gt; 35000]]="Có", 35001, Form_Responses1[[#This Row],[NT_ProBNP]])</f>
        <v>7189.8</v>
      </c>
      <c r="AO69" s="27">
        <f>IF(Form_Responses1[[#This Row],[NT_proBNP &gt; 35000]]="Có", 1, 0)</f>
        <v>0</v>
      </c>
      <c r="AP69" s="6">
        <v>15.54</v>
      </c>
      <c r="AQ69" s="6">
        <v>19</v>
      </c>
      <c r="AR69" s="6">
        <v>9</v>
      </c>
      <c r="AS69" s="6">
        <v>75</v>
      </c>
      <c r="AT69" s="6">
        <v>42</v>
      </c>
      <c r="AU69" s="6">
        <v>49</v>
      </c>
      <c r="AV69" s="6">
        <v>63</v>
      </c>
      <c r="AW69" s="6">
        <v>46</v>
      </c>
      <c r="AX69" s="6">
        <v>45</v>
      </c>
      <c r="AY69" s="24">
        <f>IF(Form_Responses1[[#This Row],[ket_cuc]]="Không tử vong", 0, 1)</f>
        <v>0</v>
      </c>
      <c r="AZ69" s="1" t="s">
        <v>24</v>
      </c>
      <c r="BA69" s="32">
        <v>44</v>
      </c>
      <c r="BB69" s="32">
        <v>9.1205814451810446E-2</v>
      </c>
    </row>
    <row r="70" spans="1:54" ht="13" x14ac:dyDescent="0.15">
      <c r="A70" s="2" t="s">
        <v>299</v>
      </c>
      <c r="B70" s="15">
        <v>92</v>
      </c>
      <c r="C70" s="15">
        <f>IF(Form_Responses1[[#This Row],[gioi_tinh]]="Nữ", 0, 1)</f>
        <v>0</v>
      </c>
      <c r="D70" s="2" t="s">
        <v>20</v>
      </c>
      <c r="E70" s="15">
        <v>17.600000000000001</v>
      </c>
      <c r="F70" s="15">
        <f>IF(Form_Responses1[[#This Row],[dai_thao_duong]]="Không", 0, 1)</f>
        <v>0</v>
      </c>
      <c r="G70" s="2" t="s">
        <v>21</v>
      </c>
      <c r="H70" s="15">
        <f t="shared" si="2"/>
        <v>1</v>
      </c>
      <c r="I70" s="2" t="s">
        <v>22</v>
      </c>
      <c r="J70" s="15">
        <f>IF(Form_Responses1[[#This Row],[hoi_chung_vanh_man]]="Không", 0, 1)</f>
        <v>0</v>
      </c>
      <c r="K70" s="2" t="s">
        <v>21</v>
      </c>
      <c r="L70" s="15">
        <f>IF(Form_Responses1[[#This Row],[ckd]]="Không", 0, 1)</f>
        <v>1</v>
      </c>
      <c r="M70" s="2" t="s">
        <v>22</v>
      </c>
      <c r="N70" s="15">
        <f t="shared" si="3"/>
        <v>0</v>
      </c>
      <c r="O70" s="2" t="s">
        <v>21</v>
      </c>
      <c r="P70" s="15">
        <f>IF(Form_Responses1[[#This Row],[phan_loai_the_lam_sang]]="Suy tim mất bù cấp", 1,0)</f>
        <v>0</v>
      </c>
      <c r="Q70" s="15">
        <f>IF(Form_Responses1[[#This Row],[phan_loai_the_lam_sang]]="Phù phổi cấp", 1, 0)</f>
        <v>1</v>
      </c>
      <c r="R70" s="15">
        <f>IF(Form_Responses1[[#This Row],[phan_loai_the_lam_sang]]="Choáng tim", 1, 0)</f>
        <v>0</v>
      </c>
      <c r="S70" s="2" t="s">
        <v>45</v>
      </c>
      <c r="T70" s="15">
        <v>66</v>
      </c>
      <c r="U70" s="15">
        <v>180</v>
      </c>
      <c r="V70" s="15">
        <v>100</v>
      </c>
      <c r="W70" s="15">
        <f>IF(Form_Responses1[[#This Row],[hcvc]]="Không", 0, 1)</f>
        <v>0</v>
      </c>
      <c r="X70" s="2" t="s">
        <v>21</v>
      </c>
      <c r="Y70" s="15">
        <f>IF(Form_Responses1[[#This Row],[suy_ho_hap]]="Không", 0, 1)</f>
        <v>1</v>
      </c>
      <c r="Z70" s="2" t="s">
        <v>22</v>
      </c>
      <c r="AA70" s="15">
        <f>IF(Form_Responses1[[#This Row],[rung_nhi]]="Không", 0, 1)</f>
        <v>0</v>
      </c>
      <c r="AB70" s="2" t="s">
        <v>21</v>
      </c>
      <c r="AC70" s="15">
        <v>408</v>
      </c>
      <c r="AD70" s="15">
        <v>0.1</v>
      </c>
      <c r="AE70" s="15">
        <v>15.33</v>
      </c>
      <c r="AF70" s="15">
        <v>119</v>
      </c>
      <c r="AG70" s="15">
        <v>229</v>
      </c>
      <c r="AH70" s="15">
        <v>137</v>
      </c>
      <c r="AI70" s="15">
        <v>2.7</v>
      </c>
      <c r="AJ70" s="15">
        <v>9.8000000000000007</v>
      </c>
      <c r="AK70" s="15">
        <v>1.59</v>
      </c>
      <c r="AL70" s="2" t="s">
        <v>22</v>
      </c>
      <c r="AM70" s="12"/>
      <c r="AN70" s="6">
        <f>IF(Form_Responses1[[#This Row],[NT_proBNP &gt; 35000]]="Có", 35001, Form_Responses1[[#This Row],[NT_ProBNP]])</f>
        <v>35001</v>
      </c>
      <c r="AO70" s="18">
        <f>IF(Form_Responses1[[#This Row],[NT_proBNP &gt; 35000]]="Có", 1, 0)</f>
        <v>1</v>
      </c>
      <c r="AP70" s="15">
        <v>415.5</v>
      </c>
      <c r="AQ70" s="15">
        <v>126</v>
      </c>
      <c r="AR70" s="15">
        <v>106</v>
      </c>
      <c r="AS70" s="15">
        <v>176</v>
      </c>
      <c r="AU70" s="15">
        <v>28.2</v>
      </c>
      <c r="AV70" s="15">
        <v>46.8</v>
      </c>
      <c r="AW70" s="15">
        <v>46</v>
      </c>
      <c r="AX70" s="27">
        <v>55</v>
      </c>
      <c r="AY70" s="29">
        <f>IF(Form_Responses1[[#This Row],[ket_cuc]]="Không tử vong", 0, 1)</f>
        <v>0</v>
      </c>
      <c r="AZ70" s="2" t="s">
        <v>24</v>
      </c>
      <c r="BA70" s="32">
        <v>30</v>
      </c>
      <c r="BB70" s="32">
        <v>5.1268952387646949E-2</v>
      </c>
    </row>
    <row r="71" spans="1:54" ht="13" x14ac:dyDescent="0.15">
      <c r="A71" s="1" t="s">
        <v>266</v>
      </c>
      <c r="B71" s="6">
        <v>71</v>
      </c>
      <c r="C71" s="6">
        <f>IF(Form_Responses1[[#This Row],[gioi_tinh]]="Nữ", 0, 1)</f>
        <v>0</v>
      </c>
      <c r="D71" s="1" t="s">
        <v>20</v>
      </c>
      <c r="E71" s="6">
        <v>20</v>
      </c>
      <c r="F71" s="6">
        <f>IF(Form_Responses1[[#This Row],[dai_thao_duong]]="Không", 0, 1)</f>
        <v>0</v>
      </c>
      <c r="G71" s="1" t="s">
        <v>21</v>
      </c>
      <c r="H71" s="6">
        <f t="shared" si="2"/>
        <v>0</v>
      </c>
      <c r="I71" s="1" t="s">
        <v>21</v>
      </c>
      <c r="J71" s="6">
        <f>IF(Form_Responses1[[#This Row],[hoi_chung_vanh_man]]="Không", 0, 1)</f>
        <v>0</v>
      </c>
      <c r="K71" s="1" t="s">
        <v>21</v>
      </c>
      <c r="L71" s="6">
        <f>IF(Form_Responses1[[#This Row],[ckd]]="Không", 0, 1)</f>
        <v>0</v>
      </c>
      <c r="M71" s="1" t="s">
        <v>21</v>
      </c>
      <c r="N71" s="6">
        <f t="shared" si="3"/>
        <v>0</v>
      </c>
      <c r="O71" s="1" t="s">
        <v>21</v>
      </c>
      <c r="P71" s="6">
        <f>IF(Form_Responses1[[#This Row],[phan_loai_the_lam_sang]]="Suy tim mất bù cấp", 1,0)</f>
        <v>1</v>
      </c>
      <c r="Q71" s="6">
        <f>IF(Form_Responses1[[#This Row],[phan_loai_the_lam_sang]]="Phù phổi cấp", 1, 0)</f>
        <v>0</v>
      </c>
      <c r="R71" s="6">
        <f>IF(Form_Responses1[[#This Row],[phan_loai_the_lam_sang]]="Choáng tim", 1, 0)</f>
        <v>0</v>
      </c>
      <c r="S71" s="1" t="s">
        <v>23</v>
      </c>
      <c r="T71" s="6">
        <v>90</v>
      </c>
      <c r="U71" s="6">
        <v>130</v>
      </c>
      <c r="V71" s="6">
        <v>80</v>
      </c>
      <c r="W71" s="6">
        <f>IF(Form_Responses1[[#This Row],[hcvc]]="Không", 0, 1)</f>
        <v>0</v>
      </c>
      <c r="X71" s="1" t="s">
        <v>21</v>
      </c>
      <c r="Y71" s="6">
        <f>IF(Form_Responses1[[#This Row],[suy_ho_hap]]="Không", 0, 1)</f>
        <v>0</v>
      </c>
      <c r="Z71" s="1" t="s">
        <v>21</v>
      </c>
      <c r="AA71" s="6">
        <f>IF(Form_Responses1[[#This Row],[rung_nhi]]="Không", 0, 1)</f>
        <v>0</v>
      </c>
      <c r="AB71" s="1" t="s">
        <v>21</v>
      </c>
      <c r="AC71" s="6">
        <v>401</v>
      </c>
      <c r="AD71" s="6">
        <v>0.08</v>
      </c>
      <c r="AE71" s="6">
        <v>8.9</v>
      </c>
      <c r="AF71" s="6">
        <v>137</v>
      </c>
      <c r="AG71" s="6">
        <v>148</v>
      </c>
      <c r="AH71" s="6">
        <v>136</v>
      </c>
      <c r="AI71" s="6">
        <v>2.8</v>
      </c>
      <c r="AJ71" s="6">
        <v>21</v>
      </c>
      <c r="AK71" s="6">
        <v>0.76</v>
      </c>
      <c r="AL71" s="1" t="s">
        <v>21</v>
      </c>
      <c r="AM71" s="28">
        <v>15246.19</v>
      </c>
      <c r="AN71" s="6">
        <f>IF(Form_Responses1[[#This Row],[NT_proBNP &gt; 35000]]="Có", 35001, Form_Responses1[[#This Row],[NT_ProBNP]])</f>
        <v>15246.19</v>
      </c>
      <c r="AO71" s="27">
        <f>IF(Form_Responses1[[#This Row],[NT_proBNP &gt; 35000]]="Có", 1, 0)</f>
        <v>0</v>
      </c>
      <c r="AP71" s="6">
        <v>591.95000000000005</v>
      </c>
      <c r="AQ71" s="6">
        <v>85</v>
      </c>
      <c r="AR71" s="6">
        <v>106</v>
      </c>
      <c r="AS71" s="6">
        <v>123</v>
      </c>
      <c r="AT71" s="6">
        <v>32</v>
      </c>
      <c r="AU71" s="6">
        <v>21</v>
      </c>
      <c r="AV71" s="6">
        <v>27</v>
      </c>
      <c r="AW71" s="6">
        <v>46</v>
      </c>
      <c r="AX71" s="6">
        <v>30</v>
      </c>
      <c r="AY71" s="24">
        <f>IF(Form_Responses1[[#This Row],[ket_cuc]]="Không tử vong", 0, 1)</f>
        <v>0</v>
      </c>
      <c r="AZ71" s="1" t="s">
        <v>24</v>
      </c>
      <c r="BA71" s="32">
        <v>43</v>
      </c>
      <c r="BB71" s="32">
        <v>6.9979779002100811E-2</v>
      </c>
    </row>
    <row r="72" spans="1:54" ht="13" x14ac:dyDescent="0.15">
      <c r="A72" s="2" t="s">
        <v>277</v>
      </c>
      <c r="B72" s="15">
        <v>74</v>
      </c>
      <c r="C72" s="15">
        <f>IF(Form_Responses1[[#This Row],[gioi_tinh]]="Nữ", 0, 1)</f>
        <v>0</v>
      </c>
      <c r="D72" s="2" t="s">
        <v>20</v>
      </c>
      <c r="E72" s="15">
        <v>27.6</v>
      </c>
      <c r="F72" s="15">
        <f>IF(Form_Responses1[[#This Row],[dai_thao_duong]]="Không", 0, 1)</f>
        <v>1</v>
      </c>
      <c r="G72" s="2" t="s">
        <v>22</v>
      </c>
      <c r="H72" s="15">
        <f t="shared" si="2"/>
        <v>1</v>
      </c>
      <c r="I72" s="2" t="s">
        <v>22</v>
      </c>
      <c r="J72" s="15">
        <f>IF(Form_Responses1[[#This Row],[hoi_chung_vanh_man]]="Không", 0, 1)</f>
        <v>0</v>
      </c>
      <c r="K72" s="2" t="s">
        <v>21</v>
      </c>
      <c r="L72" s="15">
        <f>IF(Form_Responses1[[#This Row],[ckd]]="Không", 0, 1)</f>
        <v>0</v>
      </c>
      <c r="M72" s="2" t="s">
        <v>21</v>
      </c>
      <c r="N72" s="15">
        <f t="shared" si="3"/>
        <v>0</v>
      </c>
      <c r="O72" s="2" t="s">
        <v>21</v>
      </c>
      <c r="P72" s="15">
        <f>IF(Form_Responses1[[#This Row],[phan_loai_the_lam_sang]]="Suy tim mất bù cấp", 1,0)</f>
        <v>1</v>
      </c>
      <c r="Q72" s="15">
        <f>IF(Form_Responses1[[#This Row],[phan_loai_the_lam_sang]]="Phù phổi cấp", 1, 0)</f>
        <v>0</v>
      </c>
      <c r="R72" s="15">
        <f>IF(Form_Responses1[[#This Row],[phan_loai_the_lam_sang]]="Choáng tim", 1, 0)</f>
        <v>0</v>
      </c>
      <c r="S72" s="2" t="s">
        <v>23</v>
      </c>
      <c r="T72" s="15">
        <v>102</v>
      </c>
      <c r="U72" s="15">
        <v>120</v>
      </c>
      <c r="V72" s="15">
        <v>70</v>
      </c>
      <c r="W72" s="15">
        <f>IF(Form_Responses1[[#This Row],[hcvc]]="Không", 0, 1)</f>
        <v>0</v>
      </c>
      <c r="X72" s="2" t="s">
        <v>21</v>
      </c>
      <c r="Y72" s="15">
        <f>IF(Form_Responses1[[#This Row],[suy_ho_hap]]="Không", 0, 1)</f>
        <v>1</v>
      </c>
      <c r="Z72" s="2" t="s">
        <v>22</v>
      </c>
      <c r="AA72" s="15">
        <f>IF(Form_Responses1[[#This Row],[rung_nhi]]="Không", 0, 1)</f>
        <v>0</v>
      </c>
      <c r="AB72" s="2" t="s">
        <v>21</v>
      </c>
      <c r="AC72" s="15">
        <v>394</v>
      </c>
      <c r="AD72" s="15">
        <v>0.08</v>
      </c>
      <c r="AE72" s="15">
        <v>18.7</v>
      </c>
      <c r="AF72" s="15">
        <v>125</v>
      </c>
      <c r="AG72" s="15">
        <v>334</v>
      </c>
      <c r="AH72" s="15">
        <v>129</v>
      </c>
      <c r="AI72" s="15">
        <v>3.1</v>
      </c>
      <c r="AJ72" s="15">
        <v>5.0999999999999996</v>
      </c>
      <c r="AK72" s="15">
        <v>0.94</v>
      </c>
      <c r="AL72" s="2" t="s">
        <v>21</v>
      </c>
      <c r="AM72" s="28">
        <v>15765.69</v>
      </c>
      <c r="AN72" s="6">
        <f>IF(Form_Responses1[[#This Row],[NT_proBNP &gt; 35000]]="Có", 35001, Form_Responses1[[#This Row],[NT_ProBNP]])</f>
        <v>15765.69</v>
      </c>
      <c r="AO72" s="27">
        <f>IF(Form_Responses1[[#This Row],[NT_proBNP &gt; 35000]]="Có", 1, 0)</f>
        <v>0</v>
      </c>
      <c r="AP72" s="15">
        <v>2500.67</v>
      </c>
      <c r="AQ72" s="15">
        <v>32</v>
      </c>
      <c r="AR72" s="15">
        <v>20</v>
      </c>
      <c r="AS72" s="15">
        <v>306</v>
      </c>
      <c r="AT72" s="15">
        <v>38.6</v>
      </c>
      <c r="AU72" s="15">
        <v>27.9</v>
      </c>
      <c r="AV72" s="15">
        <v>39.700000000000003</v>
      </c>
      <c r="AW72" s="15">
        <v>46</v>
      </c>
      <c r="AX72" s="15">
        <v>51</v>
      </c>
      <c r="AY72" s="22">
        <f>IF(Form_Responses1[[#This Row],[ket_cuc]]="Không tử vong", 0, 1)</f>
        <v>0</v>
      </c>
      <c r="AZ72" s="2" t="s">
        <v>24</v>
      </c>
      <c r="BA72" s="32">
        <v>45</v>
      </c>
      <c r="BB72" s="32">
        <v>7.6669731192104212E-2</v>
      </c>
    </row>
    <row r="73" spans="1:54" ht="13" x14ac:dyDescent="0.15">
      <c r="A73" s="1" t="s">
        <v>327</v>
      </c>
      <c r="B73" s="6">
        <v>56</v>
      </c>
      <c r="C73" s="6">
        <f>IF(Form_Responses1[[#This Row],[gioi_tinh]]="Nữ", 0, 1)</f>
        <v>1</v>
      </c>
      <c r="D73" s="1" t="s">
        <v>26</v>
      </c>
      <c r="E73" s="6">
        <v>23.9</v>
      </c>
      <c r="F73" s="6">
        <f>IF(Form_Responses1[[#This Row],[dai_thao_duong]]="Không", 0, 1)</f>
        <v>1</v>
      </c>
      <c r="G73" s="1" t="s">
        <v>22</v>
      </c>
      <c r="H73" s="6">
        <f t="shared" si="2"/>
        <v>0</v>
      </c>
      <c r="I73" s="1" t="s">
        <v>21</v>
      </c>
      <c r="J73" s="6">
        <f>IF(Form_Responses1[[#This Row],[hoi_chung_vanh_man]]="Không", 0, 1)</f>
        <v>0</v>
      </c>
      <c r="K73" s="1" t="s">
        <v>21</v>
      </c>
      <c r="L73" s="6">
        <f>IF(Form_Responses1[[#This Row],[ckd]]="Không", 0, 1)</f>
        <v>0</v>
      </c>
      <c r="M73" s="1" t="s">
        <v>21</v>
      </c>
      <c r="N73" s="6">
        <f t="shared" si="3"/>
        <v>0</v>
      </c>
      <c r="O73" s="1" t="s">
        <v>21</v>
      </c>
      <c r="P73" s="6">
        <f>IF(Form_Responses1[[#This Row],[phan_loai_the_lam_sang]]="Suy tim mất bù cấp", 1,0)</f>
        <v>0</v>
      </c>
      <c r="Q73" s="6">
        <f>IF(Form_Responses1[[#This Row],[phan_loai_the_lam_sang]]="Phù phổi cấp", 1, 0)</f>
        <v>1</v>
      </c>
      <c r="R73" s="6">
        <f>IF(Form_Responses1[[#This Row],[phan_loai_the_lam_sang]]="Choáng tim", 1, 0)</f>
        <v>0</v>
      </c>
      <c r="S73" s="1" t="s">
        <v>45</v>
      </c>
      <c r="T73" s="6">
        <v>104</v>
      </c>
      <c r="U73" s="6">
        <v>130</v>
      </c>
      <c r="V73" s="6">
        <v>80</v>
      </c>
      <c r="W73" s="6">
        <f>IF(Form_Responses1[[#This Row],[hcvc]]="Không", 0, 1)</f>
        <v>0</v>
      </c>
      <c r="X73" s="1" t="s">
        <v>21</v>
      </c>
      <c r="Y73" s="6">
        <f>IF(Form_Responses1[[#This Row],[suy_ho_hap]]="Không", 0, 1)</f>
        <v>1</v>
      </c>
      <c r="Z73" s="1" t="s">
        <v>22</v>
      </c>
      <c r="AA73" s="6">
        <f>IF(Form_Responses1[[#This Row],[rung_nhi]]="Không", 0, 1)</f>
        <v>0</v>
      </c>
      <c r="AB73" s="1" t="s">
        <v>21</v>
      </c>
      <c r="AC73" s="6">
        <v>428</v>
      </c>
      <c r="AD73" s="6">
        <v>0.06</v>
      </c>
      <c r="AE73" s="6">
        <v>3.83</v>
      </c>
      <c r="AF73" s="6">
        <v>65</v>
      </c>
      <c r="AG73" s="6">
        <v>106</v>
      </c>
      <c r="AH73" s="6">
        <v>135</v>
      </c>
      <c r="AI73" s="6">
        <v>3.7</v>
      </c>
      <c r="AJ73" s="6">
        <v>57</v>
      </c>
      <c r="AK73" s="6">
        <v>2.29</v>
      </c>
      <c r="AL73" s="1" t="s">
        <v>22</v>
      </c>
      <c r="AM73" s="10"/>
      <c r="AN73" s="6">
        <f>IF(Form_Responses1[[#This Row],[NT_proBNP &gt; 35000]]="Có", 35001, Form_Responses1[[#This Row],[NT_ProBNP]])</f>
        <v>35001</v>
      </c>
      <c r="AO73" s="13">
        <f>IF(Form_Responses1[[#This Row],[NT_proBNP &gt; 35000]]="Có", 1, 0)</f>
        <v>1</v>
      </c>
      <c r="AP73" s="6">
        <v>6274.32</v>
      </c>
      <c r="AQ73" s="6">
        <v>951</v>
      </c>
      <c r="AR73" s="6">
        <v>512</v>
      </c>
      <c r="AS73" s="13">
        <v>113</v>
      </c>
      <c r="AT73" s="6">
        <v>32</v>
      </c>
      <c r="AU73" s="6">
        <v>38</v>
      </c>
      <c r="AV73" s="6">
        <v>49</v>
      </c>
      <c r="AW73" s="6">
        <v>46</v>
      </c>
      <c r="AX73" s="6">
        <v>43</v>
      </c>
      <c r="AY73" s="24">
        <f>IF(Form_Responses1[[#This Row],[ket_cuc]]="Không tử vong", 0, 1)</f>
        <v>1</v>
      </c>
      <c r="AZ73" s="1" t="s">
        <v>29</v>
      </c>
      <c r="BA73" s="32">
        <v>44</v>
      </c>
      <c r="BB73" s="32">
        <v>0.11180847879212222</v>
      </c>
    </row>
    <row r="74" spans="1:54" ht="13" x14ac:dyDescent="0.15">
      <c r="A74" s="2" t="s">
        <v>186</v>
      </c>
      <c r="B74" s="15">
        <v>75</v>
      </c>
      <c r="C74" s="15">
        <f>IF(Form_Responses1[[#This Row],[gioi_tinh]]="Nữ", 0, 1)</f>
        <v>0</v>
      </c>
      <c r="D74" s="2" t="s">
        <v>20</v>
      </c>
      <c r="E74" s="15">
        <v>29.7</v>
      </c>
      <c r="F74" s="15">
        <f>IF(Form_Responses1[[#This Row],[dai_thao_duong]]="Không", 0, 1)</f>
        <v>1</v>
      </c>
      <c r="G74" s="2" t="s">
        <v>22</v>
      </c>
      <c r="H74" s="15">
        <f t="shared" si="2"/>
        <v>1</v>
      </c>
      <c r="I74" s="2" t="s">
        <v>22</v>
      </c>
      <c r="J74" s="15">
        <f>IF(Form_Responses1[[#This Row],[hoi_chung_vanh_man]]="Không", 0, 1)</f>
        <v>0</v>
      </c>
      <c r="K74" s="2" t="s">
        <v>21</v>
      </c>
      <c r="L74" s="15">
        <f>IF(Form_Responses1[[#This Row],[ckd]]="Không", 0, 1)</f>
        <v>1</v>
      </c>
      <c r="M74" s="2" t="s">
        <v>22</v>
      </c>
      <c r="N74" s="15">
        <f t="shared" si="3"/>
        <v>0</v>
      </c>
      <c r="O74" s="2" t="s">
        <v>21</v>
      </c>
      <c r="P74" s="15">
        <f>IF(Form_Responses1[[#This Row],[phan_loai_the_lam_sang]]="Suy tim mất bù cấp", 1,0)</f>
        <v>0</v>
      </c>
      <c r="Q74" s="15">
        <f>IF(Form_Responses1[[#This Row],[phan_loai_the_lam_sang]]="Phù phổi cấp", 1, 0)</f>
        <v>1</v>
      </c>
      <c r="R74" s="15">
        <f>IF(Form_Responses1[[#This Row],[phan_loai_the_lam_sang]]="Choáng tim", 1, 0)</f>
        <v>0</v>
      </c>
      <c r="S74" s="2" t="s">
        <v>45</v>
      </c>
      <c r="T74" s="15">
        <v>109</v>
      </c>
      <c r="U74" s="15">
        <v>140</v>
      </c>
      <c r="V74" s="15">
        <v>80</v>
      </c>
      <c r="W74" s="15">
        <f>IF(Form_Responses1[[#This Row],[hcvc]]="Không", 0, 1)</f>
        <v>1</v>
      </c>
      <c r="X74" s="2" t="s">
        <v>22</v>
      </c>
      <c r="Y74" s="15">
        <f>IF(Form_Responses1[[#This Row],[suy_ho_hap]]="Không", 0, 1)</f>
        <v>1</v>
      </c>
      <c r="Z74" s="2" t="s">
        <v>22</v>
      </c>
      <c r="AA74" s="15">
        <f>IF(Form_Responses1[[#This Row],[rung_nhi]]="Không", 0, 1)</f>
        <v>1</v>
      </c>
      <c r="AB74" s="2" t="s">
        <v>22</v>
      </c>
      <c r="AC74" s="15">
        <v>461</v>
      </c>
      <c r="AD74" s="15">
        <v>0.08</v>
      </c>
      <c r="AE74" s="15">
        <v>17.41</v>
      </c>
      <c r="AF74" s="15">
        <v>108</v>
      </c>
      <c r="AG74" s="15">
        <v>258</v>
      </c>
      <c r="AH74" s="15">
        <v>140</v>
      </c>
      <c r="AI74" s="15">
        <v>4.4000000000000004</v>
      </c>
      <c r="AJ74" s="15">
        <v>42</v>
      </c>
      <c r="AK74" s="15">
        <v>2.72</v>
      </c>
      <c r="AL74" s="2" t="s">
        <v>21</v>
      </c>
      <c r="AM74" s="2">
        <v>32224</v>
      </c>
      <c r="AN74" s="6">
        <f>IF(Form_Responses1[[#This Row],[NT_proBNP &gt; 35000]]="Có", 35001, Form_Responses1[[#This Row],[NT_ProBNP]])</f>
        <v>32224</v>
      </c>
      <c r="AO74" s="15">
        <f>IF(Form_Responses1[[#This Row],[NT_proBNP &gt; 35000]]="Có", 1, 0)</f>
        <v>0</v>
      </c>
      <c r="AP74" s="15">
        <v>79674.5</v>
      </c>
      <c r="AQ74" s="15">
        <v>200</v>
      </c>
      <c r="AR74" s="15">
        <v>173</v>
      </c>
      <c r="AS74" s="27">
        <v>235</v>
      </c>
      <c r="AT74" s="15">
        <v>50.4</v>
      </c>
      <c r="AU74" s="15">
        <v>24.6</v>
      </c>
      <c r="AV74" s="15">
        <v>41.9</v>
      </c>
      <c r="AW74" s="15">
        <v>46</v>
      </c>
      <c r="AX74" s="15">
        <v>54</v>
      </c>
      <c r="AY74" s="22">
        <f>IF(Form_Responses1[[#This Row],[ket_cuc]]="Không tử vong", 0, 1)</f>
        <v>0</v>
      </c>
      <c r="AZ74" s="2" t="s">
        <v>24</v>
      </c>
      <c r="BA74" s="32">
        <v>47</v>
      </c>
      <c r="BB74" s="32">
        <v>0.14458736990036669</v>
      </c>
    </row>
    <row r="75" spans="1:54" ht="13" x14ac:dyDescent="0.15">
      <c r="A75" s="1" t="s">
        <v>193</v>
      </c>
      <c r="B75" s="6">
        <v>41</v>
      </c>
      <c r="C75" s="6">
        <f>IF(Form_Responses1[[#This Row],[gioi_tinh]]="Nữ", 0, 1)</f>
        <v>1</v>
      </c>
      <c r="D75" s="1" t="s">
        <v>26</v>
      </c>
      <c r="E75" s="6">
        <v>23.7</v>
      </c>
      <c r="F75" s="6">
        <f>IF(Form_Responses1[[#This Row],[dai_thao_duong]]="Không", 0, 1)</f>
        <v>0</v>
      </c>
      <c r="G75" s="1" t="s">
        <v>21</v>
      </c>
      <c r="H75" s="6">
        <f t="shared" si="2"/>
        <v>0</v>
      </c>
      <c r="I75" s="1" t="s">
        <v>21</v>
      </c>
      <c r="J75" s="6">
        <f>IF(Form_Responses1[[#This Row],[hoi_chung_vanh_man]]="Không", 0, 1)</f>
        <v>0</v>
      </c>
      <c r="K75" s="1" t="s">
        <v>21</v>
      </c>
      <c r="L75" s="6">
        <f>IF(Form_Responses1[[#This Row],[ckd]]="Không", 0, 1)</f>
        <v>0</v>
      </c>
      <c r="M75" s="1" t="s">
        <v>21</v>
      </c>
      <c r="N75" s="6">
        <f t="shared" si="3"/>
        <v>0</v>
      </c>
      <c r="O75" s="1" t="s">
        <v>21</v>
      </c>
      <c r="P75" s="6">
        <f>IF(Form_Responses1[[#This Row],[phan_loai_the_lam_sang]]="Suy tim mất bù cấp", 1,0)</f>
        <v>1</v>
      </c>
      <c r="Q75" s="6">
        <f>IF(Form_Responses1[[#This Row],[phan_loai_the_lam_sang]]="Phù phổi cấp", 1, 0)</f>
        <v>0</v>
      </c>
      <c r="R75" s="6">
        <f>IF(Form_Responses1[[#This Row],[phan_loai_the_lam_sang]]="Choáng tim", 1, 0)</f>
        <v>0</v>
      </c>
      <c r="S75" s="1" t="s">
        <v>23</v>
      </c>
      <c r="T75" s="6">
        <v>84</v>
      </c>
      <c r="U75" s="6">
        <v>110</v>
      </c>
      <c r="V75" s="6">
        <v>70</v>
      </c>
      <c r="W75" s="6">
        <f>IF(Form_Responses1[[#This Row],[hcvc]]="Không", 0, 1)</f>
        <v>0</v>
      </c>
      <c r="X75" s="1" t="s">
        <v>21</v>
      </c>
      <c r="Y75" s="6">
        <f>IF(Form_Responses1[[#This Row],[suy_ho_hap]]="Không", 0, 1)</f>
        <v>0</v>
      </c>
      <c r="Z75" s="1" t="s">
        <v>21</v>
      </c>
      <c r="AA75" s="6">
        <f>IF(Form_Responses1[[#This Row],[rung_nhi]]="Không", 0, 1)</f>
        <v>1</v>
      </c>
      <c r="AB75" s="1" t="s">
        <v>22</v>
      </c>
      <c r="AC75" s="6">
        <v>375</v>
      </c>
      <c r="AD75" s="6">
        <v>0.06</v>
      </c>
      <c r="AE75" s="6">
        <v>13.99</v>
      </c>
      <c r="AF75" s="6">
        <v>162</v>
      </c>
      <c r="AG75" s="6">
        <v>215</v>
      </c>
      <c r="AH75" s="6">
        <v>133</v>
      </c>
      <c r="AI75" s="6">
        <v>3.4</v>
      </c>
      <c r="AJ75" s="6">
        <v>8.9</v>
      </c>
      <c r="AK75" s="6">
        <v>0.92</v>
      </c>
      <c r="AL75" s="1" t="s">
        <v>21</v>
      </c>
      <c r="AM75" s="1">
        <v>2706.8</v>
      </c>
      <c r="AN75" s="6">
        <f>IF(Form_Responses1[[#This Row],[NT_proBNP &gt; 35000]]="Có", 35001, Form_Responses1[[#This Row],[NT_ProBNP]])</f>
        <v>2706.8</v>
      </c>
      <c r="AO75" s="6">
        <f>IF(Form_Responses1[[#This Row],[NT_proBNP &gt; 35000]]="Có", 1, 0)</f>
        <v>0</v>
      </c>
      <c r="AP75" s="13"/>
      <c r="AQ75" s="6">
        <v>32</v>
      </c>
      <c r="AR75" s="6">
        <v>18</v>
      </c>
      <c r="AS75" s="13">
        <v>222</v>
      </c>
      <c r="AT75" s="6">
        <v>50</v>
      </c>
      <c r="AU75" s="6">
        <v>41</v>
      </c>
      <c r="AV75" s="6">
        <v>54</v>
      </c>
      <c r="AW75" s="6">
        <v>46</v>
      </c>
      <c r="AX75" s="6">
        <v>32</v>
      </c>
      <c r="AY75" s="24">
        <f>IF(Form_Responses1[[#This Row],[ket_cuc]]="Không tử vong", 0, 1)</f>
        <v>0</v>
      </c>
      <c r="AZ75" s="1" t="s">
        <v>24</v>
      </c>
      <c r="BA75" s="32">
        <v>32</v>
      </c>
      <c r="BB75" s="32">
        <v>2.6749648879649944E-2</v>
      </c>
    </row>
    <row r="76" spans="1:54" ht="13" x14ac:dyDescent="0.15">
      <c r="A76" s="2" t="s">
        <v>211</v>
      </c>
      <c r="B76" s="15">
        <v>88</v>
      </c>
      <c r="C76" s="15">
        <f>IF(Form_Responses1[[#This Row],[gioi_tinh]]="Nữ", 0, 1)</f>
        <v>0</v>
      </c>
      <c r="D76" s="2" t="s">
        <v>20</v>
      </c>
      <c r="E76" s="15">
        <v>19</v>
      </c>
      <c r="F76" s="15">
        <f>IF(Form_Responses1[[#This Row],[dai_thao_duong]]="Không", 0, 1)</f>
        <v>0</v>
      </c>
      <c r="G76" s="2" t="s">
        <v>21</v>
      </c>
      <c r="H76" s="15">
        <f t="shared" si="2"/>
        <v>0</v>
      </c>
      <c r="I76" s="2" t="s">
        <v>21</v>
      </c>
      <c r="J76" s="15">
        <f>IF(Form_Responses1[[#This Row],[hoi_chung_vanh_man]]="Không", 0, 1)</f>
        <v>1</v>
      </c>
      <c r="K76" s="2" t="s">
        <v>22</v>
      </c>
      <c r="L76" s="15">
        <f>IF(Form_Responses1[[#This Row],[ckd]]="Không", 0, 1)</f>
        <v>0</v>
      </c>
      <c r="M76" s="2" t="s">
        <v>21</v>
      </c>
      <c r="N76" s="15">
        <f t="shared" si="3"/>
        <v>0</v>
      </c>
      <c r="O76" s="2" t="s">
        <v>21</v>
      </c>
      <c r="P76" s="15">
        <f>IF(Form_Responses1[[#This Row],[phan_loai_the_lam_sang]]="Suy tim mất bù cấp", 1,0)</f>
        <v>1</v>
      </c>
      <c r="Q76" s="15">
        <f>IF(Form_Responses1[[#This Row],[phan_loai_the_lam_sang]]="Phù phổi cấp", 1, 0)</f>
        <v>0</v>
      </c>
      <c r="R76" s="15">
        <f>IF(Form_Responses1[[#This Row],[phan_loai_the_lam_sang]]="Choáng tim", 1, 0)</f>
        <v>0</v>
      </c>
      <c r="S76" s="2" t="s">
        <v>23</v>
      </c>
      <c r="T76" s="15">
        <v>60</v>
      </c>
      <c r="U76" s="15">
        <v>140</v>
      </c>
      <c r="V76" s="15">
        <v>80</v>
      </c>
      <c r="W76" s="15">
        <f>IF(Form_Responses1[[#This Row],[hcvc]]="Không", 0, 1)</f>
        <v>0</v>
      </c>
      <c r="X76" s="2" t="s">
        <v>21</v>
      </c>
      <c r="Y76" s="15">
        <f>IF(Form_Responses1[[#This Row],[suy_ho_hap]]="Không", 0, 1)</f>
        <v>1</v>
      </c>
      <c r="Z76" s="2" t="s">
        <v>22</v>
      </c>
      <c r="AA76" s="15">
        <f>IF(Form_Responses1[[#This Row],[rung_nhi]]="Không", 0, 1)</f>
        <v>0</v>
      </c>
      <c r="AB76" s="2" t="s">
        <v>21</v>
      </c>
      <c r="AC76" s="15">
        <v>438</v>
      </c>
      <c r="AD76" s="15">
        <v>0.11</v>
      </c>
      <c r="AE76" s="15">
        <v>3.26</v>
      </c>
      <c r="AF76" s="15">
        <v>114</v>
      </c>
      <c r="AG76" s="15">
        <v>147</v>
      </c>
      <c r="AH76" s="15">
        <v>143</v>
      </c>
      <c r="AI76" s="15">
        <v>3.8</v>
      </c>
      <c r="AJ76" s="15">
        <v>15</v>
      </c>
      <c r="AK76" s="15">
        <v>0.95</v>
      </c>
      <c r="AL76" s="2" t="s">
        <v>22</v>
      </c>
      <c r="AM76" s="12"/>
      <c r="AN76" s="6">
        <f>IF(Form_Responses1[[#This Row],[NT_proBNP &gt; 35000]]="Có", 35001, Form_Responses1[[#This Row],[NT_ProBNP]])</f>
        <v>35001</v>
      </c>
      <c r="AO76" s="18">
        <f>IF(Form_Responses1[[#This Row],[NT_proBNP &gt; 35000]]="Có", 1, 0)</f>
        <v>1</v>
      </c>
      <c r="AP76" s="15">
        <v>74.2</v>
      </c>
      <c r="AQ76" s="15">
        <v>37</v>
      </c>
      <c r="AR76" s="15">
        <v>20</v>
      </c>
      <c r="AS76" s="15">
        <v>130</v>
      </c>
      <c r="AT76" s="15">
        <v>35</v>
      </c>
      <c r="AU76" s="27">
        <v>45</v>
      </c>
      <c r="AV76" s="27">
        <v>58</v>
      </c>
      <c r="AW76" s="15">
        <v>45</v>
      </c>
      <c r="AX76" s="15">
        <v>50</v>
      </c>
      <c r="AY76" s="22">
        <f>IF(Form_Responses1[[#This Row],[ket_cuc]]="Không tử vong", 0, 1)</f>
        <v>0</v>
      </c>
      <c r="AZ76" s="2" t="s">
        <v>24</v>
      </c>
      <c r="BA76" s="32">
        <v>35</v>
      </c>
      <c r="BB76" s="32">
        <v>6.8014267927730437E-2</v>
      </c>
    </row>
    <row r="77" spans="1:54" ht="13" x14ac:dyDescent="0.15">
      <c r="A77" s="1" t="s">
        <v>77</v>
      </c>
      <c r="B77" s="6">
        <v>79</v>
      </c>
      <c r="C77" s="6">
        <f>IF(Form_Responses1[[#This Row],[gioi_tinh]]="Nữ", 0, 1)</f>
        <v>1</v>
      </c>
      <c r="D77" s="1" t="s">
        <v>26</v>
      </c>
      <c r="E77" s="6">
        <v>20.5</v>
      </c>
      <c r="F77" s="6">
        <f>IF(Form_Responses1[[#This Row],[dai_thao_duong]]="Không", 0, 1)</f>
        <v>0</v>
      </c>
      <c r="G77" s="1" t="s">
        <v>21</v>
      </c>
      <c r="H77" s="6">
        <f t="shared" si="2"/>
        <v>1</v>
      </c>
      <c r="I77" s="1" t="s">
        <v>22</v>
      </c>
      <c r="J77" s="6">
        <f>IF(Form_Responses1[[#This Row],[hoi_chung_vanh_man]]="Không", 0, 1)</f>
        <v>1</v>
      </c>
      <c r="K77" s="1" t="s">
        <v>22</v>
      </c>
      <c r="L77" s="6">
        <f>IF(Form_Responses1[[#This Row],[ckd]]="Không", 0, 1)</f>
        <v>0</v>
      </c>
      <c r="M77" s="1" t="s">
        <v>21</v>
      </c>
      <c r="N77" s="6">
        <f t="shared" si="3"/>
        <v>0</v>
      </c>
      <c r="O77" s="1" t="s">
        <v>21</v>
      </c>
      <c r="P77" s="6">
        <f>IF(Form_Responses1[[#This Row],[phan_loai_the_lam_sang]]="Suy tim mất bù cấp", 1,0)</f>
        <v>0</v>
      </c>
      <c r="Q77" s="6">
        <f>IF(Form_Responses1[[#This Row],[phan_loai_the_lam_sang]]="Phù phổi cấp", 1, 0)</f>
        <v>1</v>
      </c>
      <c r="R77" s="6">
        <f>IF(Form_Responses1[[#This Row],[phan_loai_the_lam_sang]]="Choáng tim", 1, 0)</f>
        <v>0</v>
      </c>
      <c r="S77" s="1" t="s">
        <v>45</v>
      </c>
      <c r="T77" s="6">
        <v>84</v>
      </c>
      <c r="U77" s="6">
        <v>140</v>
      </c>
      <c r="V77" s="6">
        <v>80</v>
      </c>
      <c r="W77" s="6">
        <f>IF(Form_Responses1[[#This Row],[hcvc]]="Không", 0, 1)</f>
        <v>0</v>
      </c>
      <c r="X77" s="1" t="s">
        <v>21</v>
      </c>
      <c r="Y77" s="6">
        <f>IF(Form_Responses1[[#This Row],[suy_ho_hap]]="Không", 0, 1)</f>
        <v>1</v>
      </c>
      <c r="Z77" s="1" t="s">
        <v>22</v>
      </c>
      <c r="AA77" s="6">
        <f>IF(Form_Responses1[[#This Row],[rung_nhi]]="Không", 0, 1)</f>
        <v>0</v>
      </c>
      <c r="AB77" s="1" t="s">
        <v>21</v>
      </c>
      <c r="AC77" s="6">
        <v>459</v>
      </c>
      <c r="AD77" s="6">
        <v>0.06</v>
      </c>
      <c r="AE77" s="6">
        <v>12.61</v>
      </c>
      <c r="AF77" s="6">
        <v>103</v>
      </c>
      <c r="AG77" s="6">
        <v>321</v>
      </c>
      <c r="AH77" s="6">
        <v>141</v>
      </c>
      <c r="AI77" s="6">
        <v>4.5</v>
      </c>
      <c r="AJ77" s="6">
        <v>62</v>
      </c>
      <c r="AK77" s="6">
        <v>1.66</v>
      </c>
      <c r="AL77" s="1" t="s">
        <v>21</v>
      </c>
      <c r="AM77" s="28">
        <v>8246</v>
      </c>
      <c r="AN77" s="6">
        <f>IF(Form_Responses1[[#This Row],[NT_proBNP &gt; 35000]]="Có", 35001, Form_Responses1[[#This Row],[NT_ProBNP]])</f>
        <v>8246</v>
      </c>
      <c r="AO77" s="27">
        <f>IF(Form_Responses1[[#This Row],[NT_proBNP &gt; 35000]]="Có", 1, 0)</f>
        <v>0</v>
      </c>
      <c r="AP77" s="6">
        <v>1710.64</v>
      </c>
      <c r="AQ77" s="6">
        <v>64</v>
      </c>
      <c r="AR77" s="6">
        <v>75</v>
      </c>
      <c r="AS77" s="6">
        <v>123</v>
      </c>
      <c r="AT77" s="6">
        <v>31.3</v>
      </c>
      <c r="AU77" s="6">
        <v>39.4</v>
      </c>
      <c r="AV77" s="6">
        <v>48.7</v>
      </c>
      <c r="AW77" s="6">
        <v>45</v>
      </c>
      <c r="AX77" s="13"/>
      <c r="AY77" s="23">
        <f>IF(Form_Responses1[[#This Row],[ket_cuc]]="Không tử vong", 0, 1)</f>
        <v>0</v>
      </c>
      <c r="AZ77" s="1" t="s">
        <v>24</v>
      </c>
      <c r="BA77" s="32">
        <v>43</v>
      </c>
      <c r="BB77" s="32">
        <v>0.1727873712280556</v>
      </c>
    </row>
    <row r="78" spans="1:54" ht="13" x14ac:dyDescent="0.15">
      <c r="A78" s="2" t="s">
        <v>90</v>
      </c>
      <c r="B78" s="15">
        <v>62</v>
      </c>
      <c r="C78" s="15">
        <f>IF(Form_Responses1[[#This Row],[gioi_tinh]]="Nữ", 0, 1)</f>
        <v>1</v>
      </c>
      <c r="D78" s="2" t="s">
        <v>26</v>
      </c>
      <c r="E78" s="15">
        <v>22.3</v>
      </c>
      <c r="F78" s="15">
        <f>IF(Form_Responses1[[#This Row],[dai_thao_duong]]="Không", 0, 1)</f>
        <v>1</v>
      </c>
      <c r="G78" s="2" t="s">
        <v>22</v>
      </c>
      <c r="H78" s="15">
        <f t="shared" si="2"/>
        <v>1</v>
      </c>
      <c r="I78" s="2" t="s">
        <v>22</v>
      </c>
      <c r="J78" s="15">
        <f>IF(Form_Responses1[[#This Row],[hoi_chung_vanh_man]]="Không", 0, 1)</f>
        <v>0</v>
      </c>
      <c r="K78" s="2" t="s">
        <v>21</v>
      </c>
      <c r="L78" s="15">
        <f>IF(Form_Responses1[[#This Row],[ckd]]="Không", 0, 1)</f>
        <v>1</v>
      </c>
      <c r="M78" s="2" t="s">
        <v>22</v>
      </c>
      <c r="N78" s="15">
        <f t="shared" si="3"/>
        <v>0</v>
      </c>
      <c r="O78" s="2" t="s">
        <v>21</v>
      </c>
      <c r="P78" s="15">
        <f>IF(Form_Responses1[[#This Row],[phan_loai_the_lam_sang]]="Suy tim mất bù cấp", 1,0)</f>
        <v>0</v>
      </c>
      <c r="Q78" s="15">
        <f>IF(Form_Responses1[[#This Row],[phan_loai_the_lam_sang]]="Phù phổi cấp", 1, 0)</f>
        <v>1</v>
      </c>
      <c r="R78" s="15">
        <f>IF(Form_Responses1[[#This Row],[phan_loai_the_lam_sang]]="Choáng tim", 1, 0)</f>
        <v>0</v>
      </c>
      <c r="S78" s="2" t="s">
        <v>45</v>
      </c>
      <c r="T78" s="15">
        <v>95</v>
      </c>
      <c r="U78" s="15">
        <v>130</v>
      </c>
      <c r="V78" s="15">
        <v>80</v>
      </c>
      <c r="W78" s="15">
        <f>IF(Form_Responses1[[#This Row],[hcvc]]="Không", 0, 1)</f>
        <v>1</v>
      </c>
      <c r="X78" s="2" t="s">
        <v>22</v>
      </c>
      <c r="Y78" s="15">
        <f>IF(Form_Responses1[[#This Row],[suy_ho_hap]]="Không", 0, 1)</f>
        <v>1</v>
      </c>
      <c r="Z78" s="2" t="s">
        <v>22</v>
      </c>
      <c r="AA78" s="15">
        <f>IF(Form_Responses1[[#This Row],[rung_nhi]]="Không", 0, 1)</f>
        <v>0</v>
      </c>
      <c r="AB78" s="2" t="s">
        <v>21</v>
      </c>
      <c r="AC78" s="15">
        <v>465</v>
      </c>
      <c r="AD78" s="15">
        <v>0.08</v>
      </c>
      <c r="AE78" s="15">
        <v>5.8</v>
      </c>
      <c r="AF78" s="15">
        <v>75</v>
      </c>
      <c r="AG78" s="15">
        <v>330</v>
      </c>
      <c r="AH78" s="15">
        <v>133</v>
      </c>
      <c r="AI78" s="15">
        <v>3.8</v>
      </c>
      <c r="AJ78" s="15">
        <v>55</v>
      </c>
      <c r="AK78" s="15">
        <v>6.05</v>
      </c>
      <c r="AL78" s="2" t="s">
        <v>22</v>
      </c>
      <c r="AN78" s="6">
        <f>IF(Form_Responses1[[#This Row],[NT_proBNP &gt; 35000]]="Có", 35001, Form_Responses1[[#This Row],[NT_ProBNP]])</f>
        <v>35001</v>
      </c>
      <c r="AO78" s="5">
        <f>IF(Form_Responses1[[#This Row],[NT_proBNP &gt; 35000]]="Có", 1, 0)</f>
        <v>1</v>
      </c>
      <c r="AP78" s="15">
        <v>4985.3</v>
      </c>
      <c r="AQ78" s="15">
        <v>18</v>
      </c>
      <c r="AR78" s="15">
        <v>14</v>
      </c>
      <c r="AS78" s="15">
        <v>115</v>
      </c>
      <c r="AT78" s="18"/>
      <c r="AU78" s="18"/>
      <c r="AV78" s="15">
        <v>54</v>
      </c>
      <c r="AW78" s="15">
        <v>45</v>
      </c>
      <c r="AX78" s="15">
        <v>25</v>
      </c>
      <c r="AY78" s="22">
        <f>IF(Form_Responses1[[#This Row],[ket_cuc]]="Không tử vong", 0, 1)</f>
        <v>0</v>
      </c>
      <c r="AZ78" s="2" t="s">
        <v>24</v>
      </c>
      <c r="BA78" s="32">
        <v>47</v>
      </c>
      <c r="BB78" s="32">
        <v>0.11305585710710846</v>
      </c>
    </row>
    <row r="79" spans="1:54" ht="13" x14ac:dyDescent="0.15">
      <c r="A79" s="1" t="s">
        <v>91</v>
      </c>
      <c r="B79" s="6">
        <v>76</v>
      </c>
      <c r="C79" s="6">
        <f>IF(Form_Responses1[[#This Row],[gioi_tinh]]="Nữ", 0, 1)</f>
        <v>1</v>
      </c>
      <c r="D79" s="1" t="s">
        <v>26</v>
      </c>
      <c r="E79" s="6">
        <v>23.9</v>
      </c>
      <c r="F79" s="6">
        <f>IF(Form_Responses1[[#This Row],[dai_thao_duong]]="Không", 0, 1)</f>
        <v>0</v>
      </c>
      <c r="G79" s="1" t="s">
        <v>21</v>
      </c>
      <c r="H79" s="6">
        <f t="shared" si="2"/>
        <v>0</v>
      </c>
      <c r="I79" s="1" t="s">
        <v>21</v>
      </c>
      <c r="J79" s="6">
        <f>IF(Form_Responses1[[#This Row],[hoi_chung_vanh_man]]="Không", 0, 1)</f>
        <v>1</v>
      </c>
      <c r="K79" s="1" t="s">
        <v>22</v>
      </c>
      <c r="L79" s="6">
        <f>IF(Form_Responses1[[#This Row],[ckd]]="Không", 0, 1)</f>
        <v>0</v>
      </c>
      <c r="M79" s="1" t="s">
        <v>21</v>
      </c>
      <c r="N79" s="6">
        <f t="shared" si="3"/>
        <v>0</v>
      </c>
      <c r="O79" s="1" t="s">
        <v>21</v>
      </c>
      <c r="P79" s="6">
        <f>IF(Form_Responses1[[#This Row],[phan_loai_the_lam_sang]]="Suy tim mất bù cấp", 1,0)</f>
        <v>1</v>
      </c>
      <c r="Q79" s="6">
        <f>IF(Form_Responses1[[#This Row],[phan_loai_the_lam_sang]]="Phù phổi cấp", 1, 0)</f>
        <v>0</v>
      </c>
      <c r="R79" s="6">
        <f>IF(Form_Responses1[[#This Row],[phan_loai_the_lam_sang]]="Choáng tim", 1, 0)</f>
        <v>0</v>
      </c>
      <c r="S79" s="1" t="s">
        <v>23</v>
      </c>
      <c r="T79" s="6">
        <v>95</v>
      </c>
      <c r="U79" s="6">
        <v>120</v>
      </c>
      <c r="V79" s="6">
        <v>60</v>
      </c>
      <c r="W79" s="6">
        <f>IF(Form_Responses1[[#This Row],[hcvc]]="Không", 0, 1)</f>
        <v>0</v>
      </c>
      <c r="X79" s="1" t="s">
        <v>21</v>
      </c>
      <c r="Y79" s="6">
        <f>IF(Form_Responses1[[#This Row],[suy_ho_hap]]="Không", 0, 1)</f>
        <v>0</v>
      </c>
      <c r="Z79" s="1" t="s">
        <v>21</v>
      </c>
      <c r="AA79" s="6">
        <f>IF(Form_Responses1[[#This Row],[rung_nhi]]="Không", 0, 1)</f>
        <v>0</v>
      </c>
      <c r="AB79" s="1" t="s">
        <v>21</v>
      </c>
      <c r="AC79" s="6">
        <v>430</v>
      </c>
      <c r="AD79" s="6">
        <v>0.06</v>
      </c>
      <c r="AE79" s="6">
        <v>5.81</v>
      </c>
      <c r="AF79" s="6">
        <v>130</v>
      </c>
      <c r="AG79" s="6">
        <v>326</v>
      </c>
      <c r="AH79" s="6">
        <v>133</v>
      </c>
      <c r="AI79" s="6">
        <v>4</v>
      </c>
      <c r="AJ79" s="6">
        <v>6.1</v>
      </c>
      <c r="AK79" s="6">
        <v>0.86</v>
      </c>
      <c r="AL79" s="1" t="s">
        <v>21</v>
      </c>
      <c r="AM79" s="1">
        <v>13613.3</v>
      </c>
      <c r="AN79" s="6">
        <f>IF(Form_Responses1[[#This Row],[NT_proBNP &gt; 35000]]="Có", 35001, Form_Responses1[[#This Row],[NT_ProBNP]])</f>
        <v>13613.3</v>
      </c>
      <c r="AO79" s="6">
        <f>IF(Form_Responses1[[#This Row],[NT_proBNP &gt; 35000]]="Có", 1, 0)</f>
        <v>0</v>
      </c>
      <c r="AP79" s="6">
        <v>21.4</v>
      </c>
      <c r="AQ79" s="6">
        <v>23</v>
      </c>
      <c r="AR79" s="6">
        <v>19</v>
      </c>
      <c r="AS79" s="6">
        <v>124</v>
      </c>
      <c r="AT79" s="6">
        <v>37</v>
      </c>
      <c r="AU79" s="6">
        <v>48</v>
      </c>
      <c r="AV79" s="6">
        <v>63</v>
      </c>
      <c r="AW79" s="6">
        <v>44</v>
      </c>
      <c r="AX79" s="6">
        <v>56</v>
      </c>
      <c r="AY79" s="24">
        <f>IF(Form_Responses1[[#This Row],[ket_cuc]]="Không tử vong", 0, 1)</f>
        <v>0</v>
      </c>
      <c r="AZ79" s="1" t="s">
        <v>24</v>
      </c>
      <c r="BA79" s="32">
        <v>43</v>
      </c>
      <c r="BB79" s="32">
        <v>9.0349087163099709E-2</v>
      </c>
    </row>
    <row r="80" spans="1:54" ht="13" x14ac:dyDescent="0.15">
      <c r="A80" s="2" t="s">
        <v>321</v>
      </c>
      <c r="B80" s="15">
        <v>83</v>
      </c>
      <c r="C80" s="15">
        <f>IF(Form_Responses1[[#This Row],[gioi_tinh]]="Nữ", 0, 1)</f>
        <v>0</v>
      </c>
      <c r="D80" s="2" t="s">
        <v>20</v>
      </c>
      <c r="E80" s="15">
        <v>20</v>
      </c>
      <c r="F80" s="15">
        <f>IF(Form_Responses1[[#This Row],[dai_thao_duong]]="Không", 0, 1)</f>
        <v>0</v>
      </c>
      <c r="G80" s="2" t="s">
        <v>21</v>
      </c>
      <c r="H80" s="15">
        <f t="shared" si="2"/>
        <v>0</v>
      </c>
      <c r="I80" s="2" t="s">
        <v>21</v>
      </c>
      <c r="J80" s="15">
        <f>IF(Form_Responses1[[#This Row],[hoi_chung_vanh_man]]="Không", 0, 1)</f>
        <v>1</v>
      </c>
      <c r="K80" s="2" t="s">
        <v>22</v>
      </c>
      <c r="L80" s="15">
        <f>IF(Form_Responses1[[#This Row],[ckd]]="Không", 0, 1)</f>
        <v>0</v>
      </c>
      <c r="M80" s="2" t="s">
        <v>21</v>
      </c>
      <c r="N80" s="15">
        <f t="shared" si="3"/>
        <v>0</v>
      </c>
      <c r="O80" s="2" t="s">
        <v>21</v>
      </c>
      <c r="P80" s="15">
        <f>IF(Form_Responses1[[#This Row],[phan_loai_the_lam_sang]]="Suy tim mất bù cấp", 1,0)</f>
        <v>0</v>
      </c>
      <c r="Q80" s="15">
        <f>IF(Form_Responses1[[#This Row],[phan_loai_the_lam_sang]]="Phù phổi cấp", 1, 0)</f>
        <v>1</v>
      </c>
      <c r="R80" s="15">
        <f>IF(Form_Responses1[[#This Row],[phan_loai_the_lam_sang]]="Choáng tim", 1, 0)</f>
        <v>0</v>
      </c>
      <c r="S80" s="2" t="s">
        <v>45</v>
      </c>
      <c r="T80" s="15">
        <v>77</v>
      </c>
      <c r="U80" s="15">
        <v>120</v>
      </c>
      <c r="V80" s="15">
        <v>90</v>
      </c>
      <c r="W80" s="15">
        <f>IF(Form_Responses1[[#This Row],[hcvc]]="Không", 0, 1)</f>
        <v>0</v>
      </c>
      <c r="X80" s="2" t="s">
        <v>21</v>
      </c>
      <c r="Y80" s="15">
        <f>IF(Form_Responses1[[#This Row],[suy_ho_hap]]="Không", 0, 1)</f>
        <v>1</v>
      </c>
      <c r="Z80" s="2" t="s">
        <v>22</v>
      </c>
      <c r="AA80" s="15">
        <f>IF(Form_Responses1[[#This Row],[rung_nhi]]="Không", 0, 1)</f>
        <v>0</v>
      </c>
      <c r="AB80" s="2" t="s">
        <v>21</v>
      </c>
      <c r="AC80" s="15">
        <v>426</v>
      </c>
      <c r="AD80" s="15">
        <v>0.06</v>
      </c>
      <c r="AE80" s="15">
        <v>15.2</v>
      </c>
      <c r="AF80" s="15">
        <v>109</v>
      </c>
      <c r="AG80" s="15">
        <v>333</v>
      </c>
      <c r="AH80" s="15">
        <v>137</v>
      </c>
      <c r="AI80" s="15">
        <v>4.3</v>
      </c>
      <c r="AJ80" s="15">
        <v>13</v>
      </c>
      <c r="AK80" s="15">
        <v>1.18</v>
      </c>
      <c r="AL80" s="2" t="s">
        <v>22</v>
      </c>
      <c r="AM80" s="12"/>
      <c r="AN80" s="6">
        <f>IF(Form_Responses1[[#This Row],[NT_proBNP &gt; 35000]]="Có", 35001, Form_Responses1[[#This Row],[NT_ProBNP]])</f>
        <v>35001</v>
      </c>
      <c r="AO80" s="5">
        <f>IF(Form_Responses1[[#This Row],[NT_proBNP &gt; 35000]]="Có", 1, 0)</f>
        <v>1</v>
      </c>
      <c r="AP80" s="27">
        <v>51.2</v>
      </c>
      <c r="AQ80" s="15">
        <v>52</v>
      </c>
      <c r="AR80" s="15">
        <v>53</v>
      </c>
      <c r="AS80" s="15">
        <v>230</v>
      </c>
      <c r="AT80" s="15">
        <v>36.200000000000003</v>
      </c>
      <c r="AU80" s="15">
        <v>25.9</v>
      </c>
      <c r="AV80" s="15">
        <v>33</v>
      </c>
      <c r="AW80" s="15">
        <v>44</v>
      </c>
      <c r="AX80" s="18"/>
      <c r="AY80" s="26">
        <f>IF(Form_Responses1[[#This Row],[ket_cuc]]="Không tử vong", 0, 1)</f>
        <v>1</v>
      </c>
      <c r="AZ80" s="2" t="s">
        <v>29</v>
      </c>
      <c r="BA80" s="32">
        <v>40</v>
      </c>
      <c r="BB80" s="32">
        <v>5.878416306701683E-2</v>
      </c>
    </row>
    <row r="81" spans="1:54" ht="13" x14ac:dyDescent="0.15">
      <c r="A81" s="1" t="s">
        <v>259</v>
      </c>
      <c r="B81" s="6">
        <v>65</v>
      </c>
      <c r="C81" s="6">
        <f>IF(Form_Responses1[[#This Row],[gioi_tinh]]="Nữ", 0, 1)</f>
        <v>0</v>
      </c>
      <c r="D81" s="1" t="s">
        <v>20</v>
      </c>
      <c r="E81" s="6">
        <v>18.399999999999999</v>
      </c>
      <c r="F81" s="6">
        <f>IF(Form_Responses1[[#This Row],[dai_thao_duong]]="Không", 0, 1)</f>
        <v>0</v>
      </c>
      <c r="G81" s="1" t="s">
        <v>21</v>
      </c>
      <c r="H81" s="6">
        <f t="shared" si="2"/>
        <v>1</v>
      </c>
      <c r="I81" s="1" t="s">
        <v>22</v>
      </c>
      <c r="J81" s="6">
        <f>IF(Form_Responses1[[#This Row],[hoi_chung_vanh_man]]="Không", 0, 1)</f>
        <v>0</v>
      </c>
      <c r="K81" s="1" t="s">
        <v>21</v>
      </c>
      <c r="L81" s="6">
        <f>IF(Form_Responses1[[#This Row],[ckd]]="Không", 0, 1)</f>
        <v>1</v>
      </c>
      <c r="M81" s="1" t="s">
        <v>22</v>
      </c>
      <c r="N81" s="6">
        <f t="shared" si="3"/>
        <v>0</v>
      </c>
      <c r="O81" s="1" t="s">
        <v>21</v>
      </c>
      <c r="P81" s="6">
        <f>IF(Form_Responses1[[#This Row],[phan_loai_the_lam_sang]]="Suy tim mất bù cấp", 1,0)</f>
        <v>1</v>
      </c>
      <c r="Q81" s="6">
        <f>IF(Form_Responses1[[#This Row],[phan_loai_the_lam_sang]]="Phù phổi cấp", 1, 0)</f>
        <v>0</v>
      </c>
      <c r="R81" s="6">
        <f>IF(Form_Responses1[[#This Row],[phan_loai_the_lam_sang]]="Choáng tim", 1, 0)</f>
        <v>0</v>
      </c>
      <c r="S81" s="1" t="s">
        <v>23</v>
      </c>
      <c r="T81" s="6">
        <v>76</v>
      </c>
      <c r="U81" s="6">
        <v>130</v>
      </c>
      <c r="V81" s="6">
        <v>70</v>
      </c>
      <c r="W81" s="6">
        <f>IF(Form_Responses1[[#This Row],[hcvc]]="Không", 0, 1)</f>
        <v>0</v>
      </c>
      <c r="X81" s="1" t="s">
        <v>21</v>
      </c>
      <c r="Y81" s="6">
        <f>IF(Form_Responses1[[#This Row],[suy_ho_hap]]="Không", 0, 1)</f>
        <v>1</v>
      </c>
      <c r="Z81" s="1" t="s">
        <v>22</v>
      </c>
      <c r="AA81" s="6">
        <f>IF(Form_Responses1[[#This Row],[rung_nhi]]="Không", 0, 1)</f>
        <v>0</v>
      </c>
      <c r="AB81" s="1" t="s">
        <v>21</v>
      </c>
      <c r="AC81" s="6">
        <v>516</v>
      </c>
      <c r="AD81" s="6">
        <v>0.08</v>
      </c>
      <c r="AE81" s="6">
        <v>5.34</v>
      </c>
      <c r="AF81" s="6">
        <v>96</v>
      </c>
      <c r="AG81" s="6">
        <v>87</v>
      </c>
      <c r="AH81" s="6">
        <v>129</v>
      </c>
      <c r="AI81" s="6">
        <v>5.5</v>
      </c>
      <c r="AJ81" s="6">
        <v>56</v>
      </c>
      <c r="AK81" s="6">
        <v>7.37</v>
      </c>
      <c r="AL81" s="1" t="s">
        <v>22</v>
      </c>
      <c r="AM81" s="10"/>
      <c r="AN81" s="6">
        <f>IF(Form_Responses1[[#This Row],[NT_proBNP &gt; 35000]]="Có", 35001, Form_Responses1[[#This Row],[NT_ProBNP]])</f>
        <v>35001</v>
      </c>
      <c r="AO81" s="13">
        <f>IF(Form_Responses1[[#This Row],[NT_proBNP &gt; 35000]]="Có", 1, 0)</f>
        <v>1</v>
      </c>
      <c r="AP81" s="6">
        <v>350.6</v>
      </c>
      <c r="AQ81" s="6">
        <v>58</v>
      </c>
      <c r="AR81" s="6">
        <v>32</v>
      </c>
      <c r="AS81" s="6">
        <v>149</v>
      </c>
      <c r="AT81" s="6">
        <v>44.3</v>
      </c>
      <c r="AU81" s="6">
        <v>29.9</v>
      </c>
      <c r="AV81" s="6">
        <v>44.8</v>
      </c>
      <c r="AW81" s="6">
        <v>44</v>
      </c>
      <c r="AX81" s="6">
        <v>75</v>
      </c>
      <c r="AY81" s="24">
        <f>IF(Form_Responses1[[#This Row],[ket_cuc]]="Không tử vong", 0, 1)</f>
        <v>0</v>
      </c>
      <c r="AZ81" s="1" t="s">
        <v>24</v>
      </c>
      <c r="BA81" s="32">
        <v>43</v>
      </c>
      <c r="BB81" s="32">
        <v>0.11824036000107239</v>
      </c>
    </row>
    <row r="82" spans="1:54" ht="13" x14ac:dyDescent="0.15">
      <c r="A82" s="2" t="s">
        <v>109</v>
      </c>
      <c r="B82" s="15">
        <v>70</v>
      </c>
      <c r="C82" s="15">
        <f>IF(Form_Responses1[[#This Row],[gioi_tinh]]="Nữ", 0, 1)</f>
        <v>0</v>
      </c>
      <c r="D82" s="2" t="s">
        <v>20</v>
      </c>
      <c r="E82" s="15">
        <v>17.8</v>
      </c>
      <c r="F82" s="15">
        <f>IF(Form_Responses1[[#This Row],[dai_thao_duong]]="Không", 0, 1)</f>
        <v>1</v>
      </c>
      <c r="G82" s="2" t="s">
        <v>22</v>
      </c>
      <c r="H82" s="15">
        <f t="shared" si="2"/>
        <v>1</v>
      </c>
      <c r="I82" s="2" t="s">
        <v>22</v>
      </c>
      <c r="J82" s="15">
        <f>IF(Form_Responses1[[#This Row],[hoi_chung_vanh_man]]="Không", 0, 1)</f>
        <v>0</v>
      </c>
      <c r="K82" s="2" t="s">
        <v>21</v>
      </c>
      <c r="L82" s="15">
        <f>IF(Form_Responses1[[#This Row],[ckd]]="Không", 0, 1)</f>
        <v>0</v>
      </c>
      <c r="M82" s="2" t="s">
        <v>21</v>
      </c>
      <c r="N82" s="15">
        <f t="shared" si="3"/>
        <v>0</v>
      </c>
      <c r="O82" s="2" t="s">
        <v>21</v>
      </c>
      <c r="P82" s="15">
        <f>IF(Form_Responses1[[#This Row],[phan_loai_the_lam_sang]]="Suy tim mất bù cấp", 1,0)</f>
        <v>0</v>
      </c>
      <c r="Q82" s="15">
        <f>IF(Form_Responses1[[#This Row],[phan_loai_the_lam_sang]]="Phù phổi cấp", 1, 0)</f>
        <v>1</v>
      </c>
      <c r="R82" s="15">
        <f>IF(Form_Responses1[[#This Row],[phan_loai_the_lam_sang]]="Choáng tim", 1, 0)</f>
        <v>0</v>
      </c>
      <c r="S82" s="2" t="s">
        <v>45</v>
      </c>
      <c r="T82" s="15">
        <v>102</v>
      </c>
      <c r="U82" s="15">
        <v>210</v>
      </c>
      <c r="V82" s="15">
        <v>100</v>
      </c>
      <c r="W82" s="15">
        <f>IF(Form_Responses1[[#This Row],[hcvc]]="Không", 0, 1)</f>
        <v>0</v>
      </c>
      <c r="X82" s="2" t="s">
        <v>21</v>
      </c>
      <c r="Y82" s="15">
        <f>IF(Form_Responses1[[#This Row],[suy_ho_hap]]="Không", 0, 1)</f>
        <v>1</v>
      </c>
      <c r="Z82" s="2" t="s">
        <v>22</v>
      </c>
      <c r="AA82" s="15">
        <f>IF(Form_Responses1[[#This Row],[rung_nhi]]="Không", 0, 1)</f>
        <v>0</v>
      </c>
      <c r="AB82" s="2" t="s">
        <v>21</v>
      </c>
      <c r="AC82" s="15">
        <v>465</v>
      </c>
      <c r="AD82" s="15">
        <v>0.08</v>
      </c>
      <c r="AE82" s="15">
        <v>9.3000000000000007</v>
      </c>
      <c r="AF82" s="15">
        <v>57</v>
      </c>
      <c r="AG82" s="15">
        <v>315</v>
      </c>
      <c r="AH82" s="15">
        <v>124</v>
      </c>
      <c r="AI82" s="15">
        <v>4.9000000000000004</v>
      </c>
      <c r="AJ82" s="15">
        <v>78</v>
      </c>
      <c r="AK82" s="15">
        <v>8.2799999999999994</v>
      </c>
      <c r="AL82" s="2" t="s">
        <v>22</v>
      </c>
      <c r="AM82" s="12"/>
      <c r="AN82" s="6">
        <f>IF(Form_Responses1[[#This Row],[NT_proBNP &gt; 35000]]="Có", 35001, Form_Responses1[[#This Row],[NT_ProBNP]])</f>
        <v>35001</v>
      </c>
      <c r="AO82" s="18">
        <f>IF(Form_Responses1[[#This Row],[NT_proBNP &gt; 35000]]="Có", 1, 0)</f>
        <v>1</v>
      </c>
      <c r="AP82" s="15">
        <v>846.2</v>
      </c>
      <c r="AQ82" s="15">
        <v>45</v>
      </c>
      <c r="AR82" s="15">
        <v>19</v>
      </c>
      <c r="AS82" s="15">
        <v>206</v>
      </c>
      <c r="AT82" s="15">
        <v>33</v>
      </c>
      <c r="AU82" s="15">
        <v>37</v>
      </c>
      <c r="AV82" s="15">
        <v>47</v>
      </c>
      <c r="AW82" s="15">
        <v>44</v>
      </c>
      <c r="AX82" s="27">
        <v>40</v>
      </c>
      <c r="AY82" s="29">
        <f>IF(Form_Responses1[[#This Row],[ket_cuc]]="Không tử vong", 0, 1)</f>
        <v>0</v>
      </c>
      <c r="AZ82" s="2" t="s">
        <v>24</v>
      </c>
      <c r="BA82" s="32">
        <v>43</v>
      </c>
      <c r="BB82" s="32">
        <v>0.16325581538572911</v>
      </c>
    </row>
    <row r="83" spans="1:54" ht="13" x14ac:dyDescent="0.15">
      <c r="A83" s="1" t="s">
        <v>47</v>
      </c>
      <c r="B83" s="6">
        <v>48</v>
      </c>
      <c r="C83" s="6">
        <f>IF(Form_Responses1[[#This Row],[gioi_tinh]]="Nữ", 0, 1)</f>
        <v>0</v>
      </c>
      <c r="D83" s="1" t="s">
        <v>20</v>
      </c>
      <c r="E83" s="6">
        <v>22.9</v>
      </c>
      <c r="F83" s="6">
        <f>IF(Form_Responses1[[#This Row],[dai_thao_duong]]="Không", 0, 1)</f>
        <v>1</v>
      </c>
      <c r="G83" s="1" t="s">
        <v>22</v>
      </c>
      <c r="H83" s="6">
        <f t="shared" si="2"/>
        <v>1</v>
      </c>
      <c r="I83" s="1" t="s">
        <v>22</v>
      </c>
      <c r="J83" s="6">
        <f>IF(Form_Responses1[[#This Row],[hoi_chung_vanh_man]]="Không", 0, 1)</f>
        <v>0</v>
      </c>
      <c r="K83" s="1" t="s">
        <v>21</v>
      </c>
      <c r="L83" s="6">
        <f>IF(Form_Responses1[[#This Row],[ckd]]="Không", 0, 1)</f>
        <v>0</v>
      </c>
      <c r="M83" s="1" t="s">
        <v>21</v>
      </c>
      <c r="N83" s="6">
        <f t="shared" si="3"/>
        <v>0</v>
      </c>
      <c r="O83" s="1" t="s">
        <v>21</v>
      </c>
      <c r="P83" s="6">
        <f>IF(Form_Responses1[[#This Row],[phan_loai_the_lam_sang]]="Suy tim mất bù cấp", 1,0)</f>
        <v>1</v>
      </c>
      <c r="Q83" s="6">
        <f>IF(Form_Responses1[[#This Row],[phan_loai_the_lam_sang]]="Phù phổi cấp", 1, 0)</f>
        <v>0</v>
      </c>
      <c r="R83" s="6">
        <f>IF(Form_Responses1[[#This Row],[phan_loai_the_lam_sang]]="Choáng tim", 1, 0)</f>
        <v>0</v>
      </c>
      <c r="S83" s="1" t="s">
        <v>23</v>
      </c>
      <c r="T83" s="6">
        <v>99</v>
      </c>
      <c r="U83" s="6">
        <v>140</v>
      </c>
      <c r="V83" s="6">
        <v>80</v>
      </c>
      <c r="W83" s="6">
        <f>IF(Form_Responses1[[#This Row],[hcvc]]="Không", 0, 1)</f>
        <v>0</v>
      </c>
      <c r="X83" s="1" t="s">
        <v>21</v>
      </c>
      <c r="Y83" s="6">
        <f>IF(Form_Responses1[[#This Row],[suy_ho_hap]]="Không", 0, 1)</f>
        <v>0</v>
      </c>
      <c r="Z83" s="1" t="s">
        <v>21</v>
      </c>
      <c r="AA83" s="6">
        <f>IF(Form_Responses1[[#This Row],[rung_nhi]]="Không", 0, 1)</f>
        <v>0</v>
      </c>
      <c r="AB83" s="1" t="s">
        <v>21</v>
      </c>
      <c r="AC83" s="6">
        <v>400</v>
      </c>
      <c r="AD83" s="6">
        <v>7.0000000000000007E-2</v>
      </c>
      <c r="AE83" s="6">
        <v>11.05</v>
      </c>
      <c r="AF83" s="6">
        <v>70</v>
      </c>
      <c r="AG83" s="6">
        <v>312</v>
      </c>
      <c r="AH83" s="6">
        <v>134</v>
      </c>
      <c r="AI83" s="6">
        <v>4.0999999999999996</v>
      </c>
      <c r="AJ83" s="6">
        <v>39</v>
      </c>
      <c r="AK83" s="6">
        <v>1.22</v>
      </c>
      <c r="AL83" s="1" t="s">
        <v>21</v>
      </c>
      <c r="AM83" s="1">
        <v>5302.3</v>
      </c>
      <c r="AN83" s="6">
        <f>IF(Form_Responses1[[#This Row],[NT_proBNP &gt; 35000]]="Có", 35001, Form_Responses1[[#This Row],[NT_ProBNP]])</f>
        <v>5302.3</v>
      </c>
      <c r="AO83" s="6">
        <f>IF(Form_Responses1[[#This Row],[NT_proBNP &gt; 35000]]="Có", 1, 0)</f>
        <v>0</v>
      </c>
      <c r="AP83" s="13"/>
      <c r="AQ83" s="6">
        <v>20</v>
      </c>
      <c r="AR83" s="6">
        <v>12</v>
      </c>
      <c r="AS83" s="6">
        <v>88</v>
      </c>
      <c r="AT83" s="6">
        <v>38</v>
      </c>
      <c r="AU83" s="6">
        <v>45</v>
      </c>
      <c r="AV83" s="6">
        <v>57</v>
      </c>
      <c r="AW83" s="6">
        <v>44</v>
      </c>
      <c r="AX83" s="27">
        <v>41</v>
      </c>
      <c r="AY83" s="29">
        <f>IF(Form_Responses1[[#This Row],[ket_cuc]]="Không tử vong", 0, 1)</f>
        <v>0</v>
      </c>
      <c r="AZ83" s="1" t="s">
        <v>24</v>
      </c>
      <c r="BA83" s="32">
        <v>35</v>
      </c>
      <c r="BB83" s="32">
        <v>6.0092298046924904E-2</v>
      </c>
    </row>
    <row r="84" spans="1:54" ht="13" x14ac:dyDescent="0.15">
      <c r="A84" s="2" t="s">
        <v>145</v>
      </c>
      <c r="B84" s="15">
        <v>24</v>
      </c>
      <c r="C84" s="15">
        <f>IF(Form_Responses1[[#This Row],[gioi_tinh]]="Nữ", 0, 1)</f>
        <v>1</v>
      </c>
      <c r="D84" s="2" t="s">
        <v>26</v>
      </c>
      <c r="E84" s="15">
        <v>20.2</v>
      </c>
      <c r="F84" s="15">
        <f>IF(Form_Responses1[[#This Row],[dai_thao_duong]]="Không", 0, 1)</f>
        <v>0</v>
      </c>
      <c r="G84" s="2" t="s">
        <v>21</v>
      </c>
      <c r="H84" s="15">
        <f t="shared" si="2"/>
        <v>0</v>
      </c>
      <c r="I84" s="2" t="s">
        <v>21</v>
      </c>
      <c r="J84" s="15">
        <f>IF(Form_Responses1[[#This Row],[hoi_chung_vanh_man]]="Không", 0, 1)</f>
        <v>0</v>
      </c>
      <c r="K84" s="2" t="s">
        <v>21</v>
      </c>
      <c r="L84" s="15">
        <f>IF(Form_Responses1[[#This Row],[ckd]]="Không", 0, 1)</f>
        <v>0</v>
      </c>
      <c r="M84" s="2" t="s">
        <v>21</v>
      </c>
      <c r="N84" s="15">
        <f t="shared" si="3"/>
        <v>0</v>
      </c>
      <c r="O84" s="2" t="s">
        <v>21</v>
      </c>
      <c r="P84" s="15">
        <f>IF(Form_Responses1[[#This Row],[phan_loai_the_lam_sang]]="Suy tim mất bù cấp", 1,0)</f>
        <v>0</v>
      </c>
      <c r="Q84" s="15">
        <f>IF(Form_Responses1[[#This Row],[phan_loai_the_lam_sang]]="Phù phổi cấp", 1, 0)</f>
        <v>0</v>
      </c>
      <c r="R84" s="15">
        <f>IF(Form_Responses1[[#This Row],[phan_loai_the_lam_sang]]="Choáng tim", 1, 0)</f>
        <v>1</v>
      </c>
      <c r="S84" s="2" t="s">
        <v>28</v>
      </c>
      <c r="T84" s="15">
        <v>105</v>
      </c>
      <c r="U84" s="15">
        <v>110</v>
      </c>
      <c r="V84" s="15">
        <v>70</v>
      </c>
      <c r="W84" s="15">
        <f>IF(Form_Responses1[[#This Row],[hcvc]]="Không", 0, 1)</f>
        <v>0</v>
      </c>
      <c r="X84" s="2" t="s">
        <v>21</v>
      </c>
      <c r="Y84" s="15">
        <f>IF(Form_Responses1[[#This Row],[suy_ho_hap]]="Không", 0, 1)</f>
        <v>1</v>
      </c>
      <c r="Z84" s="2" t="s">
        <v>22</v>
      </c>
      <c r="AA84" s="15">
        <f>IF(Form_Responses1[[#This Row],[rung_nhi]]="Không", 0, 1)</f>
        <v>0</v>
      </c>
      <c r="AB84" s="2" t="s">
        <v>21</v>
      </c>
      <c r="AC84" s="15">
        <v>465</v>
      </c>
      <c r="AD84" s="15">
        <v>0.08</v>
      </c>
      <c r="AE84" s="15">
        <v>12.96</v>
      </c>
      <c r="AF84" s="15">
        <v>135</v>
      </c>
      <c r="AG84" s="15">
        <v>333</v>
      </c>
      <c r="AH84" s="15">
        <v>138</v>
      </c>
      <c r="AI84" s="15">
        <v>3.6</v>
      </c>
      <c r="AJ84" s="15">
        <v>4.7</v>
      </c>
      <c r="AK84" s="15">
        <v>0.61</v>
      </c>
      <c r="AL84" s="2" t="s">
        <v>22</v>
      </c>
      <c r="AN84" s="6">
        <f>IF(Form_Responses1[[#This Row],[NT_proBNP &gt; 35000]]="Có", 35001, Form_Responses1[[#This Row],[NT_ProBNP]])</f>
        <v>35001</v>
      </c>
      <c r="AO84" s="5">
        <f>IF(Form_Responses1[[#This Row],[NT_proBNP &gt; 35000]]="Có", 1, 0)</f>
        <v>1</v>
      </c>
      <c r="AP84" s="15">
        <v>2786.25</v>
      </c>
      <c r="AQ84" s="15">
        <v>48</v>
      </c>
      <c r="AR84" s="15">
        <v>51</v>
      </c>
      <c r="AS84" s="15">
        <v>135</v>
      </c>
      <c r="AT84" s="15">
        <v>26.3</v>
      </c>
      <c r="AU84" s="15">
        <v>35.799999999999997</v>
      </c>
      <c r="AV84" s="15">
        <v>43.9</v>
      </c>
      <c r="AW84" s="15">
        <v>44</v>
      </c>
      <c r="AX84" s="15">
        <v>36</v>
      </c>
      <c r="AY84" s="22">
        <f>IF(Form_Responses1[[#This Row],[ket_cuc]]="Không tử vong", 0, 1)</f>
        <v>0</v>
      </c>
      <c r="AZ84" s="2" t="s">
        <v>24</v>
      </c>
      <c r="BA84" s="32">
        <v>32</v>
      </c>
      <c r="BB84" s="32">
        <v>1.9885862102352457E-2</v>
      </c>
    </row>
    <row r="85" spans="1:54" ht="13" x14ac:dyDescent="0.15">
      <c r="A85" s="1" t="s">
        <v>209</v>
      </c>
      <c r="B85" s="6">
        <v>35</v>
      </c>
      <c r="C85" s="6">
        <f>IF(Form_Responses1[[#This Row],[gioi_tinh]]="Nữ", 0, 1)</f>
        <v>0</v>
      </c>
      <c r="D85" s="1" t="s">
        <v>20</v>
      </c>
      <c r="E85" s="6">
        <v>18.8</v>
      </c>
      <c r="F85" s="6">
        <f>IF(Form_Responses1[[#This Row],[dai_thao_duong]]="Không", 0, 1)</f>
        <v>0</v>
      </c>
      <c r="G85" s="1" t="s">
        <v>21</v>
      </c>
      <c r="H85" s="6">
        <f t="shared" si="2"/>
        <v>0</v>
      </c>
      <c r="I85" s="1" t="s">
        <v>21</v>
      </c>
      <c r="J85" s="6">
        <f>IF(Form_Responses1[[#This Row],[hoi_chung_vanh_man]]="Không", 0, 1)</f>
        <v>0</v>
      </c>
      <c r="K85" s="1" t="s">
        <v>21</v>
      </c>
      <c r="L85" s="6">
        <f>IF(Form_Responses1[[#This Row],[ckd]]="Không", 0, 1)</f>
        <v>0</v>
      </c>
      <c r="M85" s="1" t="s">
        <v>21</v>
      </c>
      <c r="N85" s="6">
        <f t="shared" si="3"/>
        <v>0</v>
      </c>
      <c r="O85" s="1" t="s">
        <v>21</v>
      </c>
      <c r="P85" s="6">
        <f>IF(Form_Responses1[[#This Row],[phan_loai_the_lam_sang]]="Suy tim mất bù cấp", 1,0)</f>
        <v>1</v>
      </c>
      <c r="Q85" s="6">
        <f>IF(Form_Responses1[[#This Row],[phan_loai_the_lam_sang]]="Phù phổi cấp", 1, 0)</f>
        <v>0</v>
      </c>
      <c r="R85" s="6">
        <f>IF(Form_Responses1[[#This Row],[phan_loai_the_lam_sang]]="Choáng tim", 1, 0)</f>
        <v>0</v>
      </c>
      <c r="S85" s="1" t="s">
        <v>23</v>
      </c>
      <c r="T85" s="6">
        <v>140</v>
      </c>
      <c r="U85" s="6">
        <v>130</v>
      </c>
      <c r="V85" s="6">
        <v>80</v>
      </c>
      <c r="W85" s="6">
        <f>IF(Form_Responses1[[#This Row],[hcvc]]="Không", 0, 1)</f>
        <v>0</v>
      </c>
      <c r="X85" s="1" t="s">
        <v>21</v>
      </c>
      <c r="Y85" s="6">
        <f>IF(Form_Responses1[[#This Row],[suy_ho_hap]]="Không", 0, 1)</f>
        <v>0</v>
      </c>
      <c r="Z85" s="1" t="s">
        <v>21</v>
      </c>
      <c r="AA85" s="6">
        <f>IF(Form_Responses1[[#This Row],[rung_nhi]]="Không", 0, 1)</f>
        <v>1</v>
      </c>
      <c r="AB85" s="1" t="s">
        <v>22</v>
      </c>
      <c r="AC85" s="6">
        <v>368</v>
      </c>
      <c r="AD85" s="6">
        <v>0.06</v>
      </c>
      <c r="AE85" s="6">
        <v>11.86</v>
      </c>
      <c r="AF85" s="6">
        <v>95</v>
      </c>
      <c r="AG85" s="6">
        <v>114</v>
      </c>
      <c r="AH85" s="6">
        <v>141</v>
      </c>
      <c r="AI85" s="6">
        <v>3.1</v>
      </c>
      <c r="AJ85" s="6">
        <v>12</v>
      </c>
      <c r="AK85" s="6">
        <v>0.65</v>
      </c>
      <c r="AL85" s="1" t="s">
        <v>21</v>
      </c>
      <c r="AM85" s="1">
        <v>948.1</v>
      </c>
      <c r="AN85" s="6">
        <f>IF(Form_Responses1[[#This Row],[NT_proBNP &gt; 35000]]="Có", 35001, Form_Responses1[[#This Row],[NT_ProBNP]])</f>
        <v>948.1</v>
      </c>
      <c r="AO85" s="6">
        <f>IF(Form_Responses1[[#This Row],[NT_proBNP &gt; 35000]]="Có", 1, 0)</f>
        <v>0</v>
      </c>
      <c r="AP85" s="6">
        <v>10.9</v>
      </c>
      <c r="AQ85" s="6">
        <v>63</v>
      </c>
      <c r="AR85" s="6">
        <v>40</v>
      </c>
      <c r="AS85" s="6">
        <v>105</v>
      </c>
      <c r="AT85" s="6">
        <v>43</v>
      </c>
      <c r="AU85" s="6">
        <v>37</v>
      </c>
      <c r="AV85" s="6">
        <v>47</v>
      </c>
      <c r="AW85" s="6">
        <v>43</v>
      </c>
      <c r="AX85" s="27">
        <v>32</v>
      </c>
      <c r="AY85" s="29">
        <f>IF(Form_Responses1[[#This Row],[ket_cuc]]="Không tử vong", 0, 1)</f>
        <v>0</v>
      </c>
      <c r="AZ85" s="1" t="s">
        <v>24</v>
      </c>
      <c r="BA85" s="32">
        <v>32</v>
      </c>
      <c r="BB85" s="32">
        <v>4.0714673497200864E-2</v>
      </c>
    </row>
    <row r="86" spans="1:54" ht="13" x14ac:dyDescent="0.15">
      <c r="A86" s="2" t="s">
        <v>302</v>
      </c>
      <c r="B86" s="15">
        <v>71</v>
      </c>
      <c r="C86" s="15">
        <f>IF(Form_Responses1[[#This Row],[gioi_tinh]]="Nữ", 0, 1)</f>
        <v>0</v>
      </c>
      <c r="D86" s="2" t="s">
        <v>20</v>
      </c>
      <c r="E86" s="15">
        <v>20</v>
      </c>
      <c r="F86" s="15">
        <f>IF(Form_Responses1[[#This Row],[dai_thao_duong]]="Không", 0, 1)</f>
        <v>0</v>
      </c>
      <c r="G86" s="2" t="s">
        <v>21</v>
      </c>
      <c r="H86" s="15">
        <f t="shared" si="2"/>
        <v>1</v>
      </c>
      <c r="I86" s="2" t="s">
        <v>22</v>
      </c>
      <c r="J86" s="15">
        <f>IF(Form_Responses1[[#This Row],[hoi_chung_vanh_man]]="Không", 0, 1)</f>
        <v>0</v>
      </c>
      <c r="K86" s="2" t="s">
        <v>21</v>
      </c>
      <c r="L86" s="15">
        <f>IF(Form_Responses1[[#This Row],[ckd]]="Không", 0, 1)</f>
        <v>0</v>
      </c>
      <c r="M86" s="2" t="s">
        <v>21</v>
      </c>
      <c r="N86" s="15">
        <f t="shared" si="3"/>
        <v>0</v>
      </c>
      <c r="O86" s="2" t="s">
        <v>21</v>
      </c>
      <c r="P86" s="15">
        <f>IF(Form_Responses1[[#This Row],[phan_loai_the_lam_sang]]="Suy tim mất bù cấp", 1,0)</f>
        <v>1</v>
      </c>
      <c r="Q86" s="15">
        <f>IF(Form_Responses1[[#This Row],[phan_loai_the_lam_sang]]="Phù phổi cấp", 1, 0)</f>
        <v>0</v>
      </c>
      <c r="R86" s="15">
        <f>IF(Form_Responses1[[#This Row],[phan_loai_the_lam_sang]]="Choáng tim", 1, 0)</f>
        <v>0</v>
      </c>
      <c r="S86" s="2" t="s">
        <v>23</v>
      </c>
      <c r="T86" s="15">
        <v>110</v>
      </c>
      <c r="U86" s="15">
        <v>160</v>
      </c>
      <c r="V86" s="15">
        <v>100</v>
      </c>
      <c r="W86" s="15">
        <f>IF(Form_Responses1[[#This Row],[hcvc]]="Không", 0, 1)</f>
        <v>0</v>
      </c>
      <c r="X86" s="2" t="s">
        <v>21</v>
      </c>
      <c r="Y86" s="15">
        <f>IF(Form_Responses1[[#This Row],[suy_ho_hap]]="Không", 0, 1)</f>
        <v>0</v>
      </c>
      <c r="Z86" s="2" t="s">
        <v>21</v>
      </c>
      <c r="AA86" s="15">
        <f>IF(Form_Responses1[[#This Row],[rung_nhi]]="Không", 0, 1)</f>
        <v>1</v>
      </c>
      <c r="AB86" s="2" t="s">
        <v>22</v>
      </c>
      <c r="AC86" s="15">
        <v>390</v>
      </c>
      <c r="AD86" s="15">
        <v>0.06</v>
      </c>
      <c r="AE86" s="15">
        <v>9.01</v>
      </c>
      <c r="AF86" s="15">
        <v>121</v>
      </c>
      <c r="AG86" s="18">
        <v>135</v>
      </c>
      <c r="AH86" s="15">
        <v>136</v>
      </c>
      <c r="AI86" s="15">
        <v>3.3</v>
      </c>
      <c r="AJ86" s="15">
        <v>15</v>
      </c>
      <c r="AK86" s="15">
        <v>0.84</v>
      </c>
      <c r="AL86" s="2" t="s">
        <v>21</v>
      </c>
      <c r="AM86" s="2">
        <v>7414.55</v>
      </c>
      <c r="AN86" s="6">
        <f>IF(Form_Responses1[[#This Row],[NT_proBNP &gt; 35000]]="Có", 35001, Form_Responses1[[#This Row],[NT_ProBNP]])</f>
        <v>7414.55</v>
      </c>
      <c r="AO86" s="15">
        <f>IF(Form_Responses1[[#This Row],[NT_proBNP &gt; 35000]]="Có", 1, 0)</f>
        <v>0</v>
      </c>
      <c r="AP86" s="15">
        <v>136.18</v>
      </c>
      <c r="AQ86" s="15">
        <v>52</v>
      </c>
      <c r="AR86" s="15">
        <v>62</v>
      </c>
      <c r="AS86" s="15">
        <v>115</v>
      </c>
      <c r="AT86" s="15">
        <v>36</v>
      </c>
      <c r="AU86" s="15">
        <v>29</v>
      </c>
      <c r="AV86" s="15">
        <v>41</v>
      </c>
      <c r="AW86" s="15">
        <v>43</v>
      </c>
      <c r="AX86" s="15">
        <v>55</v>
      </c>
      <c r="AY86" s="22">
        <f>IF(Form_Responses1[[#This Row],[ket_cuc]]="Không tử vong", 0, 1)</f>
        <v>0</v>
      </c>
      <c r="AZ86" s="2" t="s">
        <v>24</v>
      </c>
      <c r="BA86" s="32">
        <v>40</v>
      </c>
      <c r="BB86" s="32">
        <v>5.5399056153298577E-2</v>
      </c>
    </row>
    <row r="87" spans="1:54" ht="13" x14ac:dyDescent="0.15">
      <c r="A87" s="1" t="s">
        <v>203</v>
      </c>
      <c r="B87" s="6">
        <v>69</v>
      </c>
      <c r="C87" s="6">
        <f>IF(Form_Responses1[[#This Row],[gioi_tinh]]="Nữ", 0, 1)</f>
        <v>0</v>
      </c>
      <c r="D87" s="1" t="s">
        <v>20</v>
      </c>
      <c r="E87" s="6">
        <v>22.2</v>
      </c>
      <c r="F87" s="6">
        <f>IF(Form_Responses1[[#This Row],[dai_thao_duong]]="Không", 0, 1)</f>
        <v>1</v>
      </c>
      <c r="G87" s="1" t="s">
        <v>22</v>
      </c>
      <c r="H87" s="6">
        <f t="shared" si="2"/>
        <v>1</v>
      </c>
      <c r="I87" s="1" t="s">
        <v>22</v>
      </c>
      <c r="J87" s="6">
        <f>IF(Form_Responses1[[#This Row],[hoi_chung_vanh_man]]="Không", 0, 1)</f>
        <v>0</v>
      </c>
      <c r="K87" s="1" t="s">
        <v>21</v>
      </c>
      <c r="L87" s="6">
        <f>IF(Form_Responses1[[#This Row],[ckd]]="Không", 0, 1)</f>
        <v>0</v>
      </c>
      <c r="M87" s="1" t="s">
        <v>21</v>
      </c>
      <c r="N87" s="6">
        <f t="shared" si="3"/>
        <v>0</v>
      </c>
      <c r="O87" s="1" t="s">
        <v>21</v>
      </c>
      <c r="P87" s="6">
        <f>IF(Form_Responses1[[#This Row],[phan_loai_the_lam_sang]]="Suy tim mất bù cấp", 1,0)</f>
        <v>1</v>
      </c>
      <c r="Q87" s="6">
        <f>IF(Form_Responses1[[#This Row],[phan_loai_the_lam_sang]]="Phù phổi cấp", 1, 0)</f>
        <v>0</v>
      </c>
      <c r="R87" s="6">
        <f>IF(Form_Responses1[[#This Row],[phan_loai_the_lam_sang]]="Choáng tim", 1, 0)</f>
        <v>0</v>
      </c>
      <c r="S87" s="1" t="s">
        <v>23</v>
      </c>
      <c r="T87" s="6">
        <v>89</v>
      </c>
      <c r="U87" s="6">
        <v>110</v>
      </c>
      <c r="V87" s="6">
        <v>60</v>
      </c>
      <c r="W87" s="6">
        <f>IF(Form_Responses1[[#This Row],[hcvc]]="Không", 0, 1)</f>
        <v>0</v>
      </c>
      <c r="X87" s="1" t="s">
        <v>21</v>
      </c>
      <c r="Y87" s="6">
        <f>IF(Form_Responses1[[#This Row],[suy_ho_hap]]="Không", 0, 1)</f>
        <v>1</v>
      </c>
      <c r="Z87" s="1" t="s">
        <v>22</v>
      </c>
      <c r="AA87" s="6">
        <f>IF(Form_Responses1[[#This Row],[rung_nhi]]="Không", 0, 1)</f>
        <v>0</v>
      </c>
      <c r="AB87" s="1" t="s">
        <v>21</v>
      </c>
      <c r="AC87" s="6">
        <v>424</v>
      </c>
      <c r="AD87" s="6">
        <v>0.06</v>
      </c>
      <c r="AE87" s="6">
        <v>9.44</v>
      </c>
      <c r="AF87" s="6">
        <v>87</v>
      </c>
      <c r="AG87" s="6">
        <v>506</v>
      </c>
      <c r="AH87" s="6">
        <v>132</v>
      </c>
      <c r="AI87" s="6">
        <v>3.4</v>
      </c>
      <c r="AJ87" s="6">
        <v>26</v>
      </c>
      <c r="AK87" s="6">
        <v>1.87</v>
      </c>
      <c r="AL87" s="1" t="s">
        <v>22</v>
      </c>
      <c r="AN87" s="6">
        <f>IF(Form_Responses1[[#This Row],[NT_proBNP &gt; 35000]]="Có", 35001, Form_Responses1[[#This Row],[NT_ProBNP]])</f>
        <v>35001</v>
      </c>
      <c r="AO87" s="5">
        <f>IF(Form_Responses1[[#This Row],[NT_proBNP &gt; 35000]]="Có", 1, 0)</f>
        <v>1</v>
      </c>
      <c r="AP87" s="6">
        <v>2604.63</v>
      </c>
      <c r="AQ87" s="6">
        <v>34</v>
      </c>
      <c r="AR87" s="6">
        <v>19</v>
      </c>
      <c r="AS87" s="6">
        <v>115</v>
      </c>
      <c r="AT87" s="6">
        <v>43</v>
      </c>
      <c r="AU87" s="6">
        <v>35</v>
      </c>
      <c r="AV87" s="6">
        <v>45</v>
      </c>
      <c r="AW87" s="6">
        <v>43</v>
      </c>
      <c r="AX87" s="6">
        <v>45</v>
      </c>
      <c r="AY87" s="24">
        <f>IF(Form_Responses1[[#This Row],[ket_cuc]]="Không tử vong", 0, 1)</f>
        <v>0</v>
      </c>
      <c r="AZ87" s="1" t="s">
        <v>24</v>
      </c>
      <c r="BA87" s="32">
        <v>44</v>
      </c>
      <c r="BB87" s="32">
        <v>0.10268877057204984</v>
      </c>
    </row>
    <row r="88" spans="1:54" ht="13" x14ac:dyDescent="0.15">
      <c r="A88" s="2" t="s">
        <v>182</v>
      </c>
      <c r="B88" s="15">
        <v>58</v>
      </c>
      <c r="C88" s="15">
        <f>IF(Form_Responses1[[#This Row],[gioi_tinh]]="Nữ", 0, 1)</f>
        <v>1</v>
      </c>
      <c r="D88" s="2" t="s">
        <v>26</v>
      </c>
      <c r="E88" s="15">
        <v>25.3</v>
      </c>
      <c r="F88" s="15">
        <f>IF(Form_Responses1[[#This Row],[dai_thao_duong]]="Không", 0, 1)</f>
        <v>0</v>
      </c>
      <c r="G88" s="2" t="s">
        <v>21</v>
      </c>
      <c r="H88" s="15">
        <f t="shared" si="2"/>
        <v>0</v>
      </c>
      <c r="I88" s="2" t="s">
        <v>21</v>
      </c>
      <c r="J88" s="15">
        <f>IF(Form_Responses1[[#This Row],[hoi_chung_vanh_man]]="Không", 0, 1)</f>
        <v>0</v>
      </c>
      <c r="K88" s="2" t="s">
        <v>21</v>
      </c>
      <c r="L88" s="15">
        <f>IF(Form_Responses1[[#This Row],[ckd]]="Không", 0, 1)</f>
        <v>0</v>
      </c>
      <c r="M88" s="2" t="s">
        <v>21</v>
      </c>
      <c r="N88" s="15">
        <f t="shared" si="3"/>
        <v>0</v>
      </c>
      <c r="O88" s="2" t="s">
        <v>21</v>
      </c>
      <c r="P88" s="15">
        <f>IF(Form_Responses1[[#This Row],[phan_loai_the_lam_sang]]="Suy tim mất bù cấp", 1,0)</f>
        <v>1</v>
      </c>
      <c r="Q88" s="15">
        <f>IF(Form_Responses1[[#This Row],[phan_loai_the_lam_sang]]="Phù phổi cấp", 1, 0)</f>
        <v>0</v>
      </c>
      <c r="R88" s="15">
        <f>IF(Form_Responses1[[#This Row],[phan_loai_the_lam_sang]]="Choáng tim", 1, 0)</f>
        <v>0</v>
      </c>
      <c r="S88" s="2" t="s">
        <v>23</v>
      </c>
      <c r="T88" s="15">
        <v>110</v>
      </c>
      <c r="U88" s="15">
        <v>120</v>
      </c>
      <c r="V88" s="15">
        <v>80</v>
      </c>
      <c r="W88" s="15">
        <f>IF(Form_Responses1[[#This Row],[hcvc]]="Không", 0, 1)</f>
        <v>0</v>
      </c>
      <c r="X88" s="2" t="s">
        <v>21</v>
      </c>
      <c r="Y88" s="15">
        <f>IF(Form_Responses1[[#This Row],[suy_ho_hap]]="Không", 0, 1)</f>
        <v>0</v>
      </c>
      <c r="Z88" s="2" t="s">
        <v>21</v>
      </c>
      <c r="AA88" s="15">
        <f>IF(Form_Responses1[[#This Row],[rung_nhi]]="Không", 0, 1)</f>
        <v>1</v>
      </c>
      <c r="AB88" s="2" t="s">
        <v>22</v>
      </c>
      <c r="AC88" s="15">
        <v>468</v>
      </c>
      <c r="AD88" s="15">
        <v>0.08</v>
      </c>
      <c r="AE88" s="15">
        <v>9.83</v>
      </c>
      <c r="AF88" s="15">
        <v>122</v>
      </c>
      <c r="AG88" s="15">
        <v>203</v>
      </c>
      <c r="AH88" s="15">
        <v>135</v>
      </c>
      <c r="AI88" s="15">
        <v>3.7</v>
      </c>
      <c r="AJ88" s="15">
        <v>9.3000000000000007</v>
      </c>
      <c r="AK88" s="15">
        <v>1.47</v>
      </c>
      <c r="AL88" s="2" t="s">
        <v>21</v>
      </c>
      <c r="AM88" s="2">
        <v>12013.5</v>
      </c>
      <c r="AN88" s="6">
        <f>IF(Form_Responses1[[#This Row],[NT_proBNP &gt; 35000]]="Có", 35001, Form_Responses1[[#This Row],[NT_ProBNP]])</f>
        <v>12013.5</v>
      </c>
      <c r="AO88" s="15">
        <f>IF(Form_Responses1[[#This Row],[NT_proBNP &gt; 35000]]="Có", 1, 0)</f>
        <v>0</v>
      </c>
      <c r="AP88" s="15">
        <v>7.8</v>
      </c>
      <c r="AQ88" s="15">
        <v>36</v>
      </c>
      <c r="AR88" s="15">
        <v>47</v>
      </c>
      <c r="AS88" s="15">
        <v>140</v>
      </c>
      <c r="AT88" s="15">
        <v>61</v>
      </c>
      <c r="AU88" s="15">
        <v>53</v>
      </c>
      <c r="AV88" s="15">
        <v>68</v>
      </c>
      <c r="AW88" s="15">
        <v>42</v>
      </c>
      <c r="AX88" s="15">
        <v>52</v>
      </c>
      <c r="AY88" s="22">
        <f>IF(Form_Responses1[[#This Row],[ket_cuc]]="Không tử vong", 0, 1)</f>
        <v>0</v>
      </c>
      <c r="AZ88" s="2" t="s">
        <v>24</v>
      </c>
      <c r="BA88" s="32">
        <v>39</v>
      </c>
      <c r="BB88" s="32">
        <v>4.9857643863424957E-2</v>
      </c>
    </row>
    <row r="89" spans="1:54" ht="13" x14ac:dyDescent="0.15">
      <c r="A89" s="1" t="s">
        <v>159</v>
      </c>
      <c r="B89" s="6">
        <v>68</v>
      </c>
      <c r="C89" s="6">
        <f>IF(Form_Responses1[[#This Row],[gioi_tinh]]="Nữ", 0, 1)</f>
        <v>1</v>
      </c>
      <c r="D89" s="1" t="s">
        <v>26</v>
      </c>
      <c r="E89" s="6">
        <v>19.100000000000001</v>
      </c>
      <c r="F89" s="6">
        <f>IF(Form_Responses1[[#This Row],[dai_thao_duong]]="Không", 0, 1)</f>
        <v>0</v>
      </c>
      <c r="G89" s="1" t="s">
        <v>21</v>
      </c>
      <c r="H89" s="6">
        <f t="shared" si="2"/>
        <v>1</v>
      </c>
      <c r="I89" s="1" t="s">
        <v>22</v>
      </c>
      <c r="J89" s="6">
        <f>IF(Form_Responses1[[#This Row],[hoi_chung_vanh_man]]="Không", 0, 1)</f>
        <v>0</v>
      </c>
      <c r="K89" s="1" t="s">
        <v>21</v>
      </c>
      <c r="L89" s="6">
        <f>IF(Form_Responses1[[#This Row],[ckd]]="Không", 0, 1)</f>
        <v>0</v>
      </c>
      <c r="M89" s="1" t="s">
        <v>21</v>
      </c>
      <c r="N89" s="6">
        <f t="shared" si="3"/>
        <v>0</v>
      </c>
      <c r="O89" s="1" t="s">
        <v>21</v>
      </c>
      <c r="P89" s="6">
        <f>IF(Form_Responses1[[#This Row],[phan_loai_the_lam_sang]]="Suy tim mất bù cấp", 1,0)</f>
        <v>1</v>
      </c>
      <c r="Q89" s="6">
        <f>IF(Form_Responses1[[#This Row],[phan_loai_the_lam_sang]]="Phù phổi cấp", 1, 0)</f>
        <v>0</v>
      </c>
      <c r="R89" s="6">
        <f>IF(Form_Responses1[[#This Row],[phan_loai_the_lam_sang]]="Choáng tim", 1, 0)</f>
        <v>0</v>
      </c>
      <c r="S89" s="1" t="s">
        <v>23</v>
      </c>
      <c r="T89" s="6">
        <v>74</v>
      </c>
      <c r="U89" s="6">
        <v>130</v>
      </c>
      <c r="V89" s="6">
        <v>70</v>
      </c>
      <c r="W89" s="6">
        <f>IF(Form_Responses1[[#This Row],[hcvc]]="Không", 0, 1)</f>
        <v>0</v>
      </c>
      <c r="X89" s="1" t="s">
        <v>21</v>
      </c>
      <c r="Y89" s="6">
        <f>IF(Form_Responses1[[#This Row],[suy_ho_hap]]="Không", 0, 1)</f>
        <v>0</v>
      </c>
      <c r="Z89" s="1" t="s">
        <v>21</v>
      </c>
      <c r="AA89" s="6">
        <f>IF(Form_Responses1[[#This Row],[rung_nhi]]="Không", 0, 1)</f>
        <v>0</v>
      </c>
      <c r="AB89" s="1" t="s">
        <v>21</v>
      </c>
      <c r="AC89" s="6">
        <v>533</v>
      </c>
      <c r="AD89" s="6">
        <v>0.15</v>
      </c>
      <c r="AE89" s="6">
        <v>12.71</v>
      </c>
      <c r="AF89" s="6">
        <v>143</v>
      </c>
      <c r="AG89" s="6">
        <v>273</v>
      </c>
      <c r="AH89" s="6">
        <v>140</v>
      </c>
      <c r="AI89" s="6">
        <v>3.3</v>
      </c>
      <c r="AJ89" s="6">
        <v>9.8000000000000007</v>
      </c>
      <c r="AK89" s="6">
        <v>1.01</v>
      </c>
      <c r="AL89" s="1" t="s">
        <v>21</v>
      </c>
      <c r="AM89" s="1">
        <v>1811</v>
      </c>
      <c r="AN89" s="6">
        <f>IF(Form_Responses1[[#This Row],[NT_proBNP &gt; 35000]]="Có", 35001, Form_Responses1[[#This Row],[NT_ProBNP]])</f>
        <v>1811</v>
      </c>
      <c r="AO89" s="6">
        <f>IF(Form_Responses1[[#This Row],[NT_proBNP &gt; 35000]]="Có", 1, 0)</f>
        <v>0</v>
      </c>
      <c r="AP89" s="6">
        <v>30.1</v>
      </c>
      <c r="AQ89" s="6">
        <v>20</v>
      </c>
      <c r="AR89" s="6">
        <v>26</v>
      </c>
      <c r="AS89" s="19"/>
      <c r="AT89" s="5">
        <v>48</v>
      </c>
      <c r="AU89" s="6">
        <v>57</v>
      </c>
      <c r="AV89" s="6">
        <v>73</v>
      </c>
      <c r="AW89" s="6">
        <v>42</v>
      </c>
      <c r="AX89" s="13"/>
      <c r="AY89" s="23">
        <f>IF(Form_Responses1[[#This Row],[ket_cuc]]="Không tử vong", 0, 1)</f>
        <v>0</v>
      </c>
      <c r="AZ89" s="1" t="s">
        <v>24</v>
      </c>
      <c r="BA89" s="32">
        <v>30</v>
      </c>
      <c r="BB89" s="32">
        <v>5.0765446042925863E-2</v>
      </c>
    </row>
    <row r="90" spans="1:54" ht="13" x14ac:dyDescent="0.15">
      <c r="A90" s="2" t="s">
        <v>92</v>
      </c>
      <c r="B90" s="15">
        <v>90</v>
      </c>
      <c r="C90" s="15">
        <f>IF(Form_Responses1[[#This Row],[gioi_tinh]]="Nữ", 0, 1)</f>
        <v>1</v>
      </c>
      <c r="D90" s="2" t="s">
        <v>26</v>
      </c>
      <c r="E90" s="15">
        <v>25.4</v>
      </c>
      <c r="F90" s="15">
        <f>IF(Form_Responses1[[#This Row],[dai_thao_duong]]="Không", 0, 1)</f>
        <v>0</v>
      </c>
      <c r="G90" s="2" t="s">
        <v>21</v>
      </c>
      <c r="H90" s="15">
        <f t="shared" si="2"/>
        <v>0</v>
      </c>
      <c r="I90" s="2" t="s">
        <v>21</v>
      </c>
      <c r="J90" s="15">
        <f>IF(Form_Responses1[[#This Row],[hoi_chung_vanh_man]]="Không", 0, 1)</f>
        <v>1</v>
      </c>
      <c r="K90" s="2" t="s">
        <v>22</v>
      </c>
      <c r="L90" s="15">
        <f>IF(Form_Responses1[[#This Row],[ckd]]="Không", 0, 1)</f>
        <v>0</v>
      </c>
      <c r="M90" s="2" t="s">
        <v>21</v>
      </c>
      <c r="N90" s="15">
        <f t="shared" si="3"/>
        <v>0</v>
      </c>
      <c r="O90" s="2" t="s">
        <v>21</v>
      </c>
      <c r="P90" s="15">
        <f>IF(Form_Responses1[[#This Row],[phan_loai_the_lam_sang]]="Suy tim mất bù cấp", 1,0)</f>
        <v>1</v>
      </c>
      <c r="Q90" s="15">
        <f>IF(Form_Responses1[[#This Row],[phan_loai_the_lam_sang]]="Phù phổi cấp", 1, 0)</f>
        <v>0</v>
      </c>
      <c r="R90" s="15">
        <f>IF(Form_Responses1[[#This Row],[phan_loai_the_lam_sang]]="Choáng tim", 1, 0)</f>
        <v>0</v>
      </c>
      <c r="S90" s="2" t="s">
        <v>23</v>
      </c>
      <c r="T90" s="15">
        <v>60</v>
      </c>
      <c r="U90" s="15">
        <v>150</v>
      </c>
      <c r="V90" s="15">
        <v>90</v>
      </c>
      <c r="W90" s="15">
        <f>IF(Form_Responses1[[#This Row],[hcvc]]="Không", 0, 1)</f>
        <v>0</v>
      </c>
      <c r="X90" s="2" t="s">
        <v>21</v>
      </c>
      <c r="Y90" s="15">
        <f>IF(Form_Responses1[[#This Row],[suy_ho_hap]]="Không", 0, 1)</f>
        <v>1</v>
      </c>
      <c r="Z90" s="2" t="s">
        <v>22</v>
      </c>
      <c r="AA90" s="15">
        <f>IF(Form_Responses1[[#This Row],[rung_nhi]]="Không", 0, 1)</f>
        <v>0</v>
      </c>
      <c r="AB90" s="2" t="s">
        <v>21</v>
      </c>
      <c r="AC90" s="15">
        <v>480</v>
      </c>
      <c r="AD90" s="15">
        <v>0.16</v>
      </c>
      <c r="AE90" s="15">
        <v>7.23</v>
      </c>
      <c r="AF90" s="15">
        <v>116</v>
      </c>
      <c r="AG90" s="15">
        <v>195</v>
      </c>
      <c r="AH90" s="15">
        <v>142</v>
      </c>
      <c r="AI90" s="15">
        <v>3.5</v>
      </c>
      <c r="AJ90" s="15">
        <v>9.8000000000000007</v>
      </c>
      <c r="AK90" s="15">
        <v>1.43</v>
      </c>
      <c r="AL90" s="2" t="s">
        <v>22</v>
      </c>
      <c r="AM90" s="12"/>
      <c r="AN90" s="6">
        <f>IF(Form_Responses1[[#This Row],[NT_proBNP &gt; 35000]]="Có", 35001, Form_Responses1[[#This Row],[NT_ProBNP]])</f>
        <v>35001</v>
      </c>
      <c r="AO90" s="18">
        <f>IF(Form_Responses1[[#This Row],[NT_proBNP &gt; 35000]]="Có", 1, 0)</f>
        <v>1</v>
      </c>
      <c r="AP90" s="15">
        <v>43</v>
      </c>
      <c r="AQ90" s="15">
        <v>42</v>
      </c>
      <c r="AR90" s="15">
        <v>25</v>
      </c>
      <c r="AS90" s="15">
        <v>129</v>
      </c>
      <c r="AT90" s="15">
        <v>42.8</v>
      </c>
      <c r="AU90" s="15">
        <v>53.7</v>
      </c>
      <c r="AV90" s="15">
        <v>61.5</v>
      </c>
      <c r="AW90" s="15">
        <v>42</v>
      </c>
      <c r="AX90" s="27">
        <v>79</v>
      </c>
      <c r="AY90" s="29">
        <f>IF(Form_Responses1[[#This Row],[ket_cuc]]="Không tử vong", 0, 1)</f>
        <v>0</v>
      </c>
      <c r="AZ90" s="2" t="s">
        <v>24</v>
      </c>
      <c r="BA90" s="32">
        <v>34</v>
      </c>
      <c r="BB90" s="32">
        <v>5.4052053844289683E-2</v>
      </c>
    </row>
    <row r="91" spans="1:54" ht="13" x14ac:dyDescent="0.15">
      <c r="A91" s="1" t="s">
        <v>183</v>
      </c>
      <c r="B91" s="6">
        <v>88</v>
      </c>
      <c r="C91" s="6">
        <f>IF(Form_Responses1[[#This Row],[gioi_tinh]]="Nữ", 0, 1)</f>
        <v>1</v>
      </c>
      <c r="D91" s="1" t="s">
        <v>26</v>
      </c>
      <c r="E91" s="6">
        <v>19.5</v>
      </c>
      <c r="F91" s="6">
        <f>IF(Form_Responses1[[#This Row],[dai_thao_duong]]="Không", 0, 1)</f>
        <v>0</v>
      </c>
      <c r="G91" s="1" t="s">
        <v>21</v>
      </c>
      <c r="H91" s="6">
        <f t="shared" si="2"/>
        <v>1</v>
      </c>
      <c r="I91" s="1" t="s">
        <v>22</v>
      </c>
      <c r="J91" s="6">
        <f>IF(Form_Responses1[[#This Row],[hoi_chung_vanh_man]]="Không", 0, 1)</f>
        <v>1</v>
      </c>
      <c r="K91" s="1" t="s">
        <v>22</v>
      </c>
      <c r="L91" s="6">
        <f>IF(Form_Responses1[[#This Row],[ckd]]="Không", 0, 1)</f>
        <v>0</v>
      </c>
      <c r="M91" s="1" t="s">
        <v>21</v>
      </c>
      <c r="N91" s="6">
        <f t="shared" si="3"/>
        <v>0</v>
      </c>
      <c r="O91" s="1" t="s">
        <v>21</v>
      </c>
      <c r="P91" s="6">
        <f>IF(Form_Responses1[[#This Row],[phan_loai_the_lam_sang]]="Suy tim mất bù cấp", 1,0)</f>
        <v>1</v>
      </c>
      <c r="Q91" s="6">
        <f>IF(Form_Responses1[[#This Row],[phan_loai_the_lam_sang]]="Phù phổi cấp", 1, 0)</f>
        <v>0</v>
      </c>
      <c r="R91" s="6">
        <f>IF(Form_Responses1[[#This Row],[phan_loai_the_lam_sang]]="Choáng tim", 1, 0)</f>
        <v>0</v>
      </c>
      <c r="S91" s="1" t="s">
        <v>23</v>
      </c>
      <c r="T91" s="6">
        <v>150</v>
      </c>
      <c r="U91" s="6">
        <v>130</v>
      </c>
      <c r="V91" s="6">
        <v>80</v>
      </c>
      <c r="W91" s="6">
        <f>IF(Form_Responses1[[#This Row],[hcvc]]="Không", 0, 1)</f>
        <v>0</v>
      </c>
      <c r="X91" s="1" t="s">
        <v>21</v>
      </c>
      <c r="Y91" s="6">
        <f>IF(Form_Responses1[[#This Row],[suy_ho_hap]]="Không", 0, 1)</f>
        <v>0</v>
      </c>
      <c r="Z91" s="1" t="s">
        <v>21</v>
      </c>
      <c r="AA91" s="6">
        <f>IF(Form_Responses1[[#This Row],[rung_nhi]]="Không", 0, 1)</f>
        <v>1</v>
      </c>
      <c r="AB91" s="1" t="s">
        <v>22</v>
      </c>
      <c r="AC91" s="6">
        <v>497</v>
      </c>
      <c r="AD91" s="6">
        <v>0.06</v>
      </c>
      <c r="AE91" s="6">
        <v>9.74</v>
      </c>
      <c r="AF91" s="6">
        <v>97</v>
      </c>
      <c r="AG91" s="6">
        <v>162</v>
      </c>
      <c r="AH91" s="6">
        <v>137</v>
      </c>
      <c r="AI91" s="6">
        <v>2.4</v>
      </c>
      <c r="AJ91" s="6">
        <v>7</v>
      </c>
      <c r="AK91" s="6">
        <v>1.45</v>
      </c>
      <c r="AL91" s="1" t="s">
        <v>22</v>
      </c>
      <c r="AN91" s="6">
        <f>IF(Form_Responses1[[#This Row],[NT_proBNP &gt; 35000]]="Có", 35001, Form_Responses1[[#This Row],[NT_ProBNP]])</f>
        <v>35001</v>
      </c>
      <c r="AO91" s="5">
        <f>IF(Form_Responses1[[#This Row],[NT_proBNP &gt; 35000]]="Có", 1, 0)</f>
        <v>1</v>
      </c>
      <c r="AP91" s="6">
        <v>253.9</v>
      </c>
      <c r="AQ91" s="6">
        <v>29</v>
      </c>
      <c r="AR91" s="6">
        <v>17</v>
      </c>
      <c r="AS91" s="6">
        <v>242</v>
      </c>
      <c r="AT91" s="6">
        <v>44.4</v>
      </c>
      <c r="AU91" s="13"/>
      <c r="AV91" s="13"/>
      <c r="AW91" s="6">
        <v>42</v>
      </c>
      <c r="AX91" s="6">
        <v>20</v>
      </c>
      <c r="AY91" s="24">
        <f>IF(Form_Responses1[[#This Row],[ket_cuc]]="Không tử vong", 0, 1)</f>
        <v>0</v>
      </c>
      <c r="AZ91" s="1" t="s">
        <v>24</v>
      </c>
      <c r="BA91" s="32">
        <v>44</v>
      </c>
      <c r="BB91" s="32">
        <v>0.16683866990219676</v>
      </c>
    </row>
    <row r="92" spans="1:54" ht="13" x14ac:dyDescent="0.15">
      <c r="A92" s="2" t="s">
        <v>294</v>
      </c>
      <c r="B92" s="15">
        <v>68</v>
      </c>
      <c r="C92" s="15">
        <f>IF(Form_Responses1[[#This Row],[gioi_tinh]]="Nữ", 0, 1)</f>
        <v>1</v>
      </c>
      <c r="D92" s="2" t="s">
        <v>26</v>
      </c>
      <c r="E92" s="15">
        <v>21.9</v>
      </c>
      <c r="F92" s="15">
        <f>IF(Form_Responses1[[#This Row],[dai_thao_duong]]="Không", 0, 1)</f>
        <v>1</v>
      </c>
      <c r="G92" s="2" t="s">
        <v>22</v>
      </c>
      <c r="H92" s="15">
        <f t="shared" si="2"/>
        <v>1</v>
      </c>
      <c r="I92" s="2" t="s">
        <v>22</v>
      </c>
      <c r="J92" s="15">
        <f>IF(Form_Responses1[[#This Row],[hoi_chung_vanh_man]]="Không", 0, 1)</f>
        <v>0</v>
      </c>
      <c r="K92" s="2" t="s">
        <v>21</v>
      </c>
      <c r="L92" s="15">
        <f>IF(Form_Responses1[[#This Row],[ckd]]="Không", 0, 1)</f>
        <v>1</v>
      </c>
      <c r="M92" s="2" t="s">
        <v>22</v>
      </c>
      <c r="N92" s="15">
        <f t="shared" si="3"/>
        <v>0</v>
      </c>
      <c r="O92" s="2" t="s">
        <v>21</v>
      </c>
      <c r="P92" s="15">
        <f>IF(Form_Responses1[[#This Row],[phan_loai_the_lam_sang]]="Suy tim mất bù cấp", 1,0)</f>
        <v>0</v>
      </c>
      <c r="Q92" s="15">
        <f>IF(Form_Responses1[[#This Row],[phan_loai_the_lam_sang]]="Phù phổi cấp", 1, 0)</f>
        <v>1</v>
      </c>
      <c r="R92" s="15">
        <f>IF(Form_Responses1[[#This Row],[phan_loai_the_lam_sang]]="Choáng tim", 1, 0)</f>
        <v>0</v>
      </c>
      <c r="S92" s="2" t="s">
        <v>45</v>
      </c>
      <c r="T92" s="15">
        <v>100</v>
      </c>
      <c r="U92" s="15">
        <v>150</v>
      </c>
      <c r="V92" s="15">
        <v>90</v>
      </c>
      <c r="W92" s="15">
        <f>IF(Form_Responses1[[#This Row],[hcvc]]="Không", 0, 1)</f>
        <v>1</v>
      </c>
      <c r="X92" s="2" t="s">
        <v>22</v>
      </c>
      <c r="Y92" s="15">
        <f>IF(Form_Responses1[[#This Row],[suy_ho_hap]]="Không", 0, 1)</f>
        <v>1</v>
      </c>
      <c r="Z92" s="2" t="s">
        <v>22</v>
      </c>
      <c r="AA92" s="15">
        <f>IF(Form_Responses1[[#This Row],[rung_nhi]]="Không", 0, 1)</f>
        <v>0</v>
      </c>
      <c r="AB92" s="2" t="s">
        <v>21</v>
      </c>
      <c r="AC92" s="15">
        <v>465</v>
      </c>
      <c r="AD92" s="15">
        <v>7.0000000000000007E-2</v>
      </c>
      <c r="AE92" s="15">
        <v>13.38</v>
      </c>
      <c r="AF92" s="15">
        <v>83</v>
      </c>
      <c r="AG92" s="15">
        <v>326</v>
      </c>
      <c r="AH92" s="15">
        <v>141</v>
      </c>
      <c r="AI92" s="15">
        <v>3.6</v>
      </c>
      <c r="AJ92" s="15">
        <v>60</v>
      </c>
      <c r="AK92" s="15">
        <v>8.8000000000000007</v>
      </c>
      <c r="AL92" s="2" t="s">
        <v>22</v>
      </c>
      <c r="AM92" s="12"/>
      <c r="AN92" s="6">
        <f>IF(Form_Responses1[[#This Row],[NT_proBNP &gt; 35000]]="Có", 35001, Form_Responses1[[#This Row],[NT_ProBNP]])</f>
        <v>35001</v>
      </c>
      <c r="AO92" s="18">
        <f>IF(Form_Responses1[[#This Row],[NT_proBNP &gt; 35000]]="Có", 1, 0)</f>
        <v>1</v>
      </c>
      <c r="AP92" s="15">
        <v>20604.59</v>
      </c>
      <c r="AQ92" s="15">
        <v>114</v>
      </c>
      <c r="AR92" s="15">
        <v>14</v>
      </c>
      <c r="AS92" s="15">
        <v>80</v>
      </c>
      <c r="AT92" s="18"/>
      <c r="AU92" s="15">
        <v>34.6</v>
      </c>
      <c r="AV92" s="15">
        <v>50.3</v>
      </c>
      <c r="AW92" s="15">
        <v>42</v>
      </c>
      <c r="AX92" s="18"/>
      <c r="AY92" s="26">
        <f>IF(Form_Responses1[[#This Row],[ket_cuc]]="Không tử vong", 0, 1)</f>
        <v>0</v>
      </c>
      <c r="AZ92" s="2" t="s">
        <v>24</v>
      </c>
      <c r="BA92" s="32">
        <v>43</v>
      </c>
      <c r="BB92" s="32">
        <v>0.12925071981989972</v>
      </c>
    </row>
    <row r="93" spans="1:54" ht="13" x14ac:dyDescent="0.15">
      <c r="A93" s="1" t="s">
        <v>231</v>
      </c>
      <c r="B93" s="6">
        <v>79</v>
      </c>
      <c r="C93" s="6">
        <f>IF(Form_Responses1[[#This Row],[gioi_tinh]]="Nữ", 0, 1)</f>
        <v>0</v>
      </c>
      <c r="D93" s="1" t="s">
        <v>20</v>
      </c>
      <c r="E93" s="6">
        <v>21</v>
      </c>
      <c r="F93" s="6">
        <f>IF(Form_Responses1[[#This Row],[dai_thao_duong]]="Không", 0, 1)</f>
        <v>0</v>
      </c>
      <c r="G93" s="1" t="s">
        <v>21</v>
      </c>
      <c r="H93" s="6">
        <f t="shared" si="2"/>
        <v>1</v>
      </c>
      <c r="I93" s="1" t="s">
        <v>22</v>
      </c>
      <c r="J93" s="6">
        <f>IF(Form_Responses1[[#This Row],[hoi_chung_vanh_man]]="Không", 0, 1)</f>
        <v>0</v>
      </c>
      <c r="K93" s="1" t="s">
        <v>21</v>
      </c>
      <c r="L93" s="6">
        <f>IF(Form_Responses1[[#This Row],[ckd]]="Không", 0, 1)</f>
        <v>1</v>
      </c>
      <c r="M93" s="1" t="s">
        <v>22</v>
      </c>
      <c r="N93" s="6">
        <f t="shared" si="3"/>
        <v>0</v>
      </c>
      <c r="O93" s="1" t="s">
        <v>21</v>
      </c>
      <c r="P93" s="6">
        <f>IF(Form_Responses1[[#This Row],[phan_loai_the_lam_sang]]="Suy tim mất bù cấp", 1,0)</f>
        <v>1</v>
      </c>
      <c r="Q93" s="6">
        <f>IF(Form_Responses1[[#This Row],[phan_loai_the_lam_sang]]="Phù phổi cấp", 1, 0)</f>
        <v>0</v>
      </c>
      <c r="R93" s="6">
        <f>IF(Form_Responses1[[#This Row],[phan_loai_the_lam_sang]]="Choáng tim", 1, 0)</f>
        <v>0</v>
      </c>
      <c r="S93" s="1" t="s">
        <v>23</v>
      </c>
      <c r="T93" s="6">
        <v>100</v>
      </c>
      <c r="U93" s="6">
        <v>100</v>
      </c>
      <c r="V93" s="6">
        <v>70</v>
      </c>
      <c r="W93" s="6">
        <f>IF(Form_Responses1[[#This Row],[hcvc]]="Không", 0, 1)</f>
        <v>0</v>
      </c>
      <c r="X93" s="1" t="s">
        <v>21</v>
      </c>
      <c r="Y93" s="6">
        <f>IF(Form_Responses1[[#This Row],[suy_ho_hap]]="Không", 0, 1)</f>
        <v>1</v>
      </c>
      <c r="Z93" s="1" t="s">
        <v>22</v>
      </c>
      <c r="AA93" s="6">
        <f>IF(Form_Responses1[[#This Row],[rung_nhi]]="Không", 0, 1)</f>
        <v>1</v>
      </c>
      <c r="AB93" s="1" t="s">
        <v>22</v>
      </c>
      <c r="AC93" s="6">
        <v>408</v>
      </c>
      <c r="AD93" s="6">
        <v>0.09</v>
      </c>
      <c r="AE93" s="6">
        <v>5.9</v>
      </c>
      <c r="AF93" s="6">
        <v>77</v>
      </c>
      <c r="AG93" s="6">
        <v>166</v>
      </c>
      <c r="AH93" s="6">
        <v>135</v>
      </c>
      <c r="AI93" s="6">
        <v>3.3</v>
      </c>
      <c r="AJ93" s="6">
        <v>30</v>
      </c>
      <c r="AK93" s="6">
        <v>1.9</v>
      </c>
      <c r="AL93" s="1" t="s">
        <v>21</v>
      </c>
      <c r="AM93" s="1">
        <v>12459</v>
      </c>
      <c r="AN93" s="6">
        <f>IF(Form_Responses1[[#This Row],[NT_proBNP &gt; 35000]]="Có", 35001, Form_Responses1[[#This Row],[NT_ProBNP]])</f>
        <v>12459</v>
      </c>
      <c r="AO93" s="6">
        <f>IF(Form_Responses1[[#This Row],[NT_proBNP &gt; 35000]]="Có", 1, 0)</f>
        <v>0</v>
      </c>
      <c r="AP93" s="13"/>
      <c r="AQ93" s="6">
        <v>32</v>
      </c>
      <c r="AR93" s="6">
        <v>21</v>
      </c>
      <c r="AS93" s="6">
        <v>108</v>
      </c>
      <c r="AT93" s="13"/>
      <c r="AU93" s="6">
        <v>42.5</v>
      </c>
      <c r="AV93" s="6">
        <v>61.1</v>
      </c>
      <c r="AW93" s="6">
        <v>42</v>
      </c>
      <c r="AX93" s="6">
        <v>51</v>
      </c>
      <c r="AY93" s="24">
        <f>IF(Form_Responses1[[#This Row],[ket_cuc]]="Không tử vong", 0, 1)</f>
        <v>0</v>
      </c>
      <c r="AZ93" s="1" t="s">
        <v>24</v>
      </c>
      <c r="BA93" s="32">
        <v>53</v>
      </c>
      <c r="BB93" s="32">
        <v>0.13672047792391162</v>
      </c>
    </row>
    <row r="94" spans="1:54" ht="13" x14ac:dyDescent="0.15">
      <c r="A94" s="2" t="s">
        <v>275</v>
      </c>
      <c r="B94" s="15">
        <v>85</v>
      </c>
      <c r="C94" s="15">
        <f>IF(Form_Responses1[[#This Row],[gioi_tinh]]="Nữ", 0, 1)</f>
        <v>0</v>
      </c>
      <c r="D94" s="2" t="s">
        <v>20</v>
      </c>
      <c r="E94" s="15">
        <v>23.6</v>
      </c>
      <c r="F94" s="15">
        <f>IF(Form_Responses1[[#This Row],[dai_thao_duong]]="Không", 0, 1)</f>
        <v>0</v>
      </c>
      <c r="G94" s="2" t="s">
        <v>21</v>
      </c>
      <c r="H94" s="15">
        <f t="shared" si="2"/>
        <v>1</v>
      </c>
      <c r="I94" s="2" t="s">
        <v>22</v>
      </c>
      <c r="J94" s="15">
        <f>IF(Form_Responses1[[#This Row],[hoi_chung_vanh_man]]="Không", 0, 1)</f>
        <v>0</v>
      </c>
      <c r="K94" s="2" t="s">
        <v>21</v>
      </c>
      <c r="L94" s="15">
        <f>IF(Form_Responses1[[#This Row],[ckd]]="Không", 0, 1)</f>
        <v>0</v>
      </c>
      <c r="M94" s="2" t="s">
        <v>21</v>
      </c>
      <c r="N94" s="15">
        <f t="shared" si="3"/>
        <v>0</v>
      </c>
      <c r="O94" s="2" t="s">
        <v>21</v>
      </c>
      <c r="P94" s="15">
        <f>IF(Form_Responses1[[#This Row],[phan_loai_the_lam_sang]]="Suy tim mất bù cấp", 1,0)</f>
        <v>0</v>
      </c>
      <c r="Q94" s="15">
        <f>IF(Form_Responses1[[#This Row],[phan_loai_the_lam_sang]]="Phù phổi cấp", 1, 0)</f>
        <v>1</v>
      </c>
      <c r="R94" s="15">
        <f>IF(Form_Responses1[[#This Row],[phan_loai_the_lam_sang]]="Choáng tim", 1, 0)</f>
        <v>0</v>
      </c>
      <c r="S94" s="2" t="s">
        <v>45</v>
      </c>
      <c r="T94" s="15">
        <v>140</v>
      </c>
      <c r="U94" s="15">
        <v>110</v>
      </c>
      <c r="V94" s="15">
        <v>70</v>
      </c>
      <c r="W94" s="15">
        <f>IF(Form_Responses1[[#This Row],[hcvc]]="Không", 0, 1)</f>
        <v>0</v>
      </c>
      <c r="X94" s="2" t="s">
        <v>21</v>
      </c>
      <c r="Y94" s="15">
        <f>IF(Form_Responses1[[#This Row],[suy_ho_hap]]="Không", 0, 1)</f>
        <v>1</v>
      </c>
      <c r="Z94" s="2" t="s">
        <v>22</v>
      </c>
      <c r="AA94" s="15">
        <f>IF(Form_Responses1[[#This Row],[rung_nhi]]="Không", 0, 1)</f>
        <v>1</v>
      </c>
      <c r="AB94" s="2" t="s">
        <v>22</v>
      </c>
      <c r="AC94" s="15">
        <v>426</v>
      </c>
      <c r="AD94" s="15">
        <v>0.06</v>
      </c>
      <c r="AE94" s="15">
        <v>10.53</v>
      </c>
      <c r="AF94" s="15">
        <v>129</v>
      </c>
      <c r="AG94" s="15">
        <v>222</v>
      </c>
      <c r="AH94" s="15">
        <v>141</v>
      </c>
      <c r="AI94" s="15">
        <v>3.3</v>
      </c>
      <c r="AJ94" s="15">
        <v>13</v>
      </c>
      <c r="AK94" s="15">
        <v>0.88</v>
      </c>
      <c r="AL94" s="2" t="s">
        <v>21</v>
      </c>
      <c r="AM94" s="2">
        <v>1907.92</v>
      </c>
      <c r="AN94" s="6">
        <f>IF(Form_Responses1[[#This Row],[NT_proBNP &gt; 35000]]="Có", 35001, Form_Responses1[[#This Row],[NT_ProBNP]])</f>
        <v>1907.92</v>
      </c>
      <c r="AO94" s="15">
        <f>IF(Form_Responses1[[#This Row],[NT_proBNP &gt; 35000]]="Có", 1, 0)</f>
        <v>0</v>
      </c>
      <c r="AP94" s="15">
        <v>13.9</v>
      </c>
      <c r="AQ94" s="15">
        <v>30</v>
      </c>
      <c r="AR94" s="15">
        <v>23</v>
      </c>
      <c r="AS94" s="15">
        <v>109</v>
      </c>
      <c r="AT94" s="27">
        <v>40.5</v>
      </c>
      <c r="AU94" s="15">
        <v>45.7</v>
      </c>
      <c r="AV94" s="15">
        <v>53.7</v>
      </c>
      <c r="AW94" s="15">
        <v>41</v>
      </c>
      <c r="AX94" s="15">
        <v>71</v>
      </c>
      <c r="AY94" s="22">
        <f>IF(Form_Responses1[[#This Row],[ket_cuc]]="Không tử vong", 0, 1)</f>
        <v>0</v>
      </c>
      <c r="AZ94" s="2" t="s">
        <v>24</v>
      </c>
      <c r="BA94" s="32">
        <v>49</v>
      </c>
      <c r="BB94" s="32">
        <v>0.18147292589764236</v>
      </c>
    </row>
    <row r="95" spans="1:54" ht="13" x14ac:dyDescent="0.15">
      <c r="A95" s="9" t="s">
        <v>221</v>
      </c>
      <c r="B95" s="6">
        <v>69</v>
      </c>
      <c r="C95" s="6">
        <f>IF(Form_Responses1[[#This Row],[gioi_tinh]]="Nữ", 0, 1)</f>
        <v>0</v>
      </c>
      <c r="D95" s="1" t="s">
        <v>20</v>
      </c>
      <c r="E95" s="6">
        <v>29</v>
      </c>
      <c r="F95" s="6">
        <f>IF(Form_Responses1[[#This Row],[dai_thao_duong]]="Không", 0, 1)</f>
        <v>0</v>
      </c>
      <c r="G95" s="1" t="s">
        <v>21</v>
      </c>
      <c r="H95" s="6">
        <f t="shared" si="2"/>
        <v>1</v>
      </c>
      <c r="I95" s="1" t="s">
        <v>22</v>
      </c>
      <c r="J95" s="6">
        <f>IF(Form_Responses1[[#This Row],[hoi_chung_vanh_man]]="Không", 0, 1)</f>
        <v>0</v>
      </c>
      <c r="K95" s="1" t="s">
        <v>21</v>
      </c>
      <c r="L95" s="6">
        <f>IF(Form_Responses1[[#This Row],[ckd]]="Không", 0, 1)</f>
        <v>0</v>
      </c>
      <c r="M95" s="1" t="s">
        <v>21</v>
      </c>
      <c r="N95" s="6">
        <f t="shared" si="3"/>
        <v>0</v>
      </c>
      <c r="O95" s="1" t="s">
        <v>21</v>
      </c>
      <c r="P95" s="6">
        <f>IF(Form_Responses1[[#This Row],[phan_loai_the_lam_sang]]="Suy tim mất bù cấp", 1,0)</f>
        <v>1</v>
      </c>
      <c r="Q95" s="6">
        <f>IF(Form_Responses1[[#This Row],[phan_loai_the_lam_sang]]="Phù phổi cấp", 1, 0)</f>
        <v>0</v>
      </c>
      <c r="R95" s="6">
        <f>IF(Form_Responses1[[#This Row],[phan_loai_the_lam_sang]]="Choáng tim", 1, 0)</f>
        <v>0</v>
      </c>
      <c r="S95" s="1" t="s">
        <v>23</v>
      </c>
      <c r="T95" s="6">
        <v>104</v>
      </c>
      <c r="U95" s="6">
        <v>100</v>
      </c>
      <c r="V95" s="6">
        <v>60</v>
      </c>
      <c r="W95" s="6">
        <f>IF(Form_Responses1[[#This Row],[hcvc]]="Không", 0, 1)</f>
        <v>0</v>
      </c>
      <c r="X95" s="1" t="s">
        <v>21</v>
      </c>
      <c r="Y95" s="6">
        <f>IF(Form_Responses1[[#This Row],[suy_ho_hap]]="Không", 0, 1)</f>
        <v>1</v>
      </c>
      <c r="Z95" s="1" t="s">
        <v>22</v>
      </c>
      <c r="AA95" s="6">
        <f>IF(Form_Responses1[[#This Row],[rung_nhi]]="Không", 0, 1)</f>
        <v>0</v>
      </c>
      <c r="AB95" s="1" t="s">
        <v>21</v>
      </c>
      <c r="AC95" s="6">
        <v>457</v>
      </c>
      <c r="AD95" s="6">
        <v>0.09</v>
      </c>
      <c r="AE95" s="6">
        <v>8.91</v>
      </c>
      <c r="AF95" s="6">
        <v>94</v>
      </c>
      <c r="AG95" s="6">
        <v>355</v>
      </c>
      <c r="AH95" s="6">
        <v>140</v>
      </c>
      <c r="AI95" s="6">
        <v>3.5</v>
      </c>
      <c r="AJ95" s="6">
        <v>8</v>
      </c>
      <c r="AK95" s="6">
        <v>0.06</v>
      </c>
      <c r="AL95" s="1" t="s">
        <v>21</v>
      </c>
      <c r="AM95" s="1">
        <v>12423</v>
      </c>
      <c r="AN95" s="6">
        <f>IF(Form_Responses1[[#This Row],[NT_proBNP &gt; 35000]]="Có", 35001, Form_Responses1[[#This Row],[NT_ProBNP]])</f>
        <v>12423</v>
      </c>
      <c r="AO95" s="6">
        <f>IF(Form_Responses1[[#This Row],[NT_proBNP &gt; 35000]]="Có", 1, 0)</f>
        <v>0</v>
      </c>
      <c r="AP95" s="6">
        <v>245</v>
      </c>
      <c r="AQ95" s="6">
        <v>25</v>
      </c>
      <c r="AR95" s="6">
        <v>12</v>
      </c>
      <c r="AS95" s="6">
        <v>109</v>
      </c>
      <c r="AU95" s="13"/>
      <c r="AV95" s="13"/>
      <c r="AW95" s="6">
        <v>41</v>
      </c>
      <c r="AX95" s="13"/>
      <c r="AY95" s="23">
        <f>IF(Form_Responses1[[#This Row],[ket_cuc]]="Không tử vong", 0, 1)</f>
        <v>0</v>
      </c>
      <c r="AZ95" s="1" t="s">
        <v>24</v>
      </c>
      <c r="BA95" s="32">
        <v>42</v>
      </c>
      <c r="BB95" s="32">
        <v>8.6843470707904963E-2</v>
      </c>
    </row>
    <row r="96" spans="1:54" ht="13" x14ac:dyDescent="0.15">
      <c r="A96" s="2" t="s">
        <v>301</v>
      </c>
      <c r="B96" s="15">
        <v>48</v>
      </c>
      <c r="C96" s="15">
        <f>IF(Form_Responses1[[#This Row],[gioi_tinh]]="Nữ", 0, 1)</f>
        <v>1</v>
      </c>
      <c r="D96" s="2" t="s">
        <v>26</v>
      </c>
      <c r="E96" s="15">
        <v>22</v>
      </c>
      <c r="F96" s="15">
        <f>IF(Form_Responses1[[#This Row],[dai_thao_duong]]="Không", 0, 1)</f>
        <v>0</v>
      </c>
      <c r="G96" s="2" t="s">
        <v>21</v>
      </c>
      <c r="H96" s="15">
        <f t="shared" si="2"/>
        <v>0</v>
      </c>
      <c r="I96" s="2" t="s">
        <v>21</v>
      </c>
      <c r="J96" s="15">
        <f>IF(Form_Responses1[[#This Row],[hoi_chung_vanh_man]]="Không", 0, 1)</f>
        <v>0</v>
      </c>
      <c r="K96" s="2" t="s">
        <v>21</v>
      </c>
      <c r="L96" s="15">
        <f>IF(Form_Responses1[[#This Row],[ckd]]="Không", 0, 1)</f>
        <v>0</v>
      </c>
      <c r="M96" s="2" t="s">
        <v>21</v>
      </c>
      <c r="N96" s="15">
        <f t="shared" si="3"/>
        <v>0</v>
      </c>
      <c r="O96" s="2" t="s">
        <v>21</v>
      </c>
      <c r="P96" s="15">
        <f>IF(Form_Responses1[[#This Row],[phan_loai_the_lam_sang]]="Suy tim mất bù cấp", 1,0)</f>
        <v>1</v>
      </c>
      <c r="Q96" s="15">
        <f>IF(Form_Responses1[[#This Row],[phan_loai_the_lam_sang]]="Phù phổi cấp", 1, 0)</f>
        <v>0</v>
      </c>
      <c r="R96" s="15">
        <f>IF(Form_Responses1[[#This Row],[phan_loai_the_lam_sang]]="Choáng tim", 1, 0)</f>
        <v>0</v>
      </c>
      <c r="S96" s="2" t="s">
        <v>23</v>
      </c>
      <c r="T96" s="15">
        <v>124</v>
      </c>
      <c r="U96" s="15">
        <v>140</v>
      </c>
      <c r="V96" s="15">
        <v>80</v>
      </c>
      <c r="W96" s="15">
        <f>IF(Form_Responses1[[#This Row],[hcvc]]="Không", 0, 1)</f>
        <v>0</v>
      </c>
      <c r="X96" s="2" t="s">
        <v>21</v>
      </c>
      <c r="Y96" s="15">
        <f>IF(Form_Responses1[[#This Row],[suy_ho_hap]]="Không", 0, 1)</f>
        <v>1</v>
      </c>
      <c r="Z96" s="2" t="s">
        <v>22</v>
      </c>
      <c r="AA96" s="15">
        <f>IF(Form_Responses1[[#This Row],[rung_nhi]]="Không", 0, 1)</f>
        <v>1</v>
      </c>
      <c r="AB96" s="2" t="s">
        <v>22</v>
      </c>
      <c r="AC96" s="15">
        <v>383</v>
      </c>
      <c r="AD96" s="15">
        <v>0.06</v>
      </c>
      <c r="AE96" s="15">
        <v>7.25</v>
      </c>
      <c r="AF96" s="15">
        <v>115</v>
      </c>
      <c r="AG96" s="15">
        <v>98</v>
      </c>
      <c r="AH96" s="15">
        <v>134</v>
      </c>
      <c r="AI96" s="15">
        <v>3.6</v>
      </c>
      <c r="AJ96" s="15">
        <v>10</v>
      </c>
      <c r="AK96" s="15">
        <v>0.54</v>
      </c>
      <c r="AL96" s="2" t="s">
        <v>21</v>
      </c>
      <c r="AM96" s="28">
        <v>1588.88</v>
      </c>
      <c r="AN96" s="6">
        <f>IF(Form_Responses1[[#This Row],[NT_proBNP &gt; 35000]]="Có", 35001, Form_Responses1[[#This Row],[NT_ProBNP]])</f>
        <v>1588.88</v>
      </c>
      <c r="AO96" s="27">
        <f>IF(Form_Responses1[[#This Row],[NT_proBNP &gt; 35000]]="Có", 1, 0)</f>
        <v>0</v>
      </c>
      <c r="AP96" s="15">
        <v>476</v>
      </c>
      <c r="AQ96" s="15">
        <v>65</v>
      </c>
      <c r="AR96" s="15">
        <v>40</v>
      </c>
      <c r="AS96" s="15">
        <v>89</v>
      </c>
      <c r="AT96" s="15">
        <v>46</v>
      </c>
      <c r="AU96" s="15">
        <v>46</v>
      </c>
      <c r="AV96" s="15">
        <v>57</v>
      </c>
      <c r="AW96" s="15">
        <v>41</v>
      </c>
      <c r="AX96" s="18"/>
      <c r="AY96" s="26">
        <f>IF(Form_Responses1[[#This Row],[ket_cuc]]="Không tử vong", 0, 1)</f>
        <v>0</v>
      </c>
      <c r="AZ96" s="2" t="s">
        <v>24</v>
      </c>
      <c r="BA96" s="32">
        <v>34</v>
      </c>
      <c r="BB96" s="32">
        <v>4.5773314088404765E-2</v>
      </c>
    </row>
    <row r="97" spans="1:54" ht="13" x14ac:dyDescent="0.15">
      <c r="A97" s="1" t="s">
        <v>201</v>
      </c>
      <c r="B97" s="6">
        <v>95</v>
      </c>
      <c r="C97" s="6">
        <f>IF(Form_Responses1[[#This Row],[gioi_tinh]]="Nữ", 0, 1)</f>
        <v>1</v>
      </c>
      <c r="D97" s="1" t="s">
        <v>26</v>
      </c>
      <c r="E97" s="6">
        <v>25</v>
      </c>
      <c r="F97" s="6">
        <f>IF(Form_Responses1[[#This Row],[dai_thao_duong]]="Không", 0, 1)</f>
        <v>1</v>
      </c>
      <c r="G97" s="1" t="s">
        <v>22</v>
      </c>
      <c r="H97" s="6">
        <f t="shared" si="2"/>
        <v>1</v>
      </c>
      <c r="I97" s="1" t="s">
        <v>22</v>
      </c>
      <c r="J97" s="6">
        <f>IF(Form_Responses1[[#This Row],[hoi_chung_vanh_man]]="Không", 0, 1)</f>
        <v>0</v>
      </c>
      <c r="K97" s="1" t="s">
        <v>21</v>
      </c>
      <c r="L97" s="6">
        <f>IF(Form_Responses1[[#This Row],[ckd]]="Không", 0, 1)</f>
        <v>0</v>
      </c>
      <c r="M97" s="1" t="s">
        <v>21</v>
      </c>
      <c r="N97" s="6">
        <f t="shared" si="3"/>
        <v>0</v>
      </c>
      <c r="O97" s="1" t="s">
        <v>21</v>
      </c>
      <c r="P97" s="6">
        <f>IF(Form_Responses1[[#This Row],[phan_loai_the_lam_sang]]="Suy tim mất bù cấp", 1,0)</f>
        <v>1</v>
      </c>
      <c r="Q97" s="6">
        <f>IF(Form_Responses1[[#This Row],[phan_loai_the_lam_sang]]="Phù phổi cấp", 1, 0)</f>
        <v>0</v>
      </c>
      <c r="R97" s="6">
        <f>IF(Form_Responses1[[#This Row],[phan_loai_the_lam_sang]]="Choáng tim", 1, 0)</f>
        <v>0</v>
      </c>
      <c r="S97" s="1" t="s">
        <v>23</v>
      </c>
      <c r="T97" s="6">
        <v>102</v>
      </c>
      <c r="U97" s="6">
        <v>130</v>
      </c>
      <c r="V97" s="6">
        <v>80</v>
      </c>
      <c r="W97" s="6">
        <f>IF(Form_Responses1[[#This Row],[hcvc]]="Không", 0, 1)</f>
        <v>0</v>
      </c>
      <c r="X97" s="1" t="s">
        <v>21</v>
      </c>
      <c r="Y97" s="6">
        <f>IF(Form_Responses1[[#This Row],[suy_ho_hap]]="Không", 0, 1)</f>
        <v>1</v>
      </c>
      <c r="Z97" s="1" t="s">
        <v>22</v>
      </c>
      <c r="AA97" s="6">
        <f>IF(Form_Responses1[[#This Row],[rung_nhi]]="Không", 0, 1)</f>
        <v>0</v>
      </c>
      <c r="AB97" s="1" t="s">
        <v>21</v>
      </c>
      <c r="AC97" s="6">
        <v>428</v>
      </c>
      <c r="AD97" s="6">
        <v>0.06</v>
      </c>
      <c r="AE97" s="6">
        <v>47.79</v>
      </c>
      <c r="AF97" s="6">
        <v>144</v>
      </c>
      <c r="AG97" s="6">
        <v>154</v>
      </c>
      <c r="AH97" s="6">
        <v>138</v>
      </c>
      <c r="AI97" s="6">
        <v>3.9</v>
      </c>
      <c r="AJ97" s="6">
        <v>13.1</v>
      </c>
      <c r="AK97" s="6">
        <v>1.27</v>
      </c>
      <c r="AL97" s="1" t="s">
        <v>21</v>
      </c>
      <c r="AM97" s="1">
        <v>5918.8</v>
      </c>
      <c r="AN97" s="6">
        <f>IF(Form_Responses1[[#This Row],[NT_proBNP &gt; 35000]]="Có", 35001, Form_Responses1[[#This Row],[NT_ProBNP]])</f>
        <v>5918.8</v>
      </c>
      <c r="AO97" s="6">
        <f>IF(Form_Responses1[[#This Row],[NT_proBNP &gt; 35000]]="Có", 1, 0)</f>
        <v>0</v>
      </c>
      <c r="AP97" s="6">
        <v>20698.900000000001</v>
      </c>
      <c r="AQ97" s="6">
        <v>223</v>
      </c>
      <c r="AR97" s="6">
        <v>146</v>
      </c>
      <c r="AS97" s="6">
        <v>165</v>
      </c>
      <c r="AT97" s="6">
        <v>28.4</v>
      </c>
      <c r="AU97" s="6">
        <v>29</v>
      </c>
      <c r="AV97" s="6">
        <v>36.4</v>
      </c>
      <c r="AW97" s="6">
        <v>41</v>
      </c>
      <c r="AX97" s="13"/>
      <c r="AY97" s="23">
        <f>IF(Form_Responses1[[#This Row],[ket_cuc]]="Không tử vong", 0, 1)</f>
        <v>0</v>
      </c>
      <c r="AZ97" s="1" t="s">
        <v>24</v>
      </c>
      <c r="BA97" s="32">
        <v>47</v>
      </c>
      <c r="BB97" s="32">
        <v>0.1294218846012522</v>
      </c>
    </row>
    <row r="98" spans="1:54" ht="13" x14ac:dyDescent="0.15">
      <c r="A98" s="2" t="s">
        <v>163</v>
      </c>
      <c r="B98" s="15">
        <v>82</v>
      </c>
      <c r="C98" s="15">
        <f>IF(Form_Responses1[[#This Row],[gioi_tinh]]="Nữ", 0, 1)</f>
        <v>0</v>
      </c>
      <c r="D98" s="2" t="s">
        <v>20</v>
      </c>
      <c r="E98" s="15">
        <v>22.2</v>
      </c>
      <c r="F98" s="15">
        <f>IF(Form_Responses1[[#This Row],[dai_thao_duong]]="Không", 0, 1)</f>
        <v>1</v>
      </c>
      <c r="G98" s="2" t="s">
        <v>22</v>
      </c>
      <c r="H98" s="15">
        <f t="shared" si="2"/>
        <v>1</v>
      </c>
      <c r="I98" s="2" t="s">
        <v>22</v>
      </c>
      <c r="J98" s="15">
        <f>IF(Form_Responses1[[#This Row],[hoi_chung_vanh_man]]="Không", 0, 1)</f>
        <v>1</v>
      </c>
      <c r="K98" s="2" t="s">
        <v>22</v>
      </c>
      <c r="L98" s="15">
        <f>IF(Form_Responses1[[#This Row],[ckd]]="Không", 0, 1)</f>
        <v>0</v>
      </c>
      <c r="M98" s="2" t="s">
        <v>21</v>
      </c>
      <c r="N98" s="15">
        <f t="shared" si="3"/>
        <v>0</v>
      </c>
      <c r="O98" s="2" t="s">
        <v>21</v>
      </c>
      <c r="P98" s="15">
        <f>IF(Form_Responses1[[#This Row],[phan_loai_the_lam_sang]]="Suy tim mất bù cấp", 1,0)</f>
        <v>1</v>
      </c>
      <c r="Q98" s="15">
        <f>IF(Form_Responses1[[#This Row],[phan_loai_the_lam_sang]]="Phù phổi cấp", 1, 0)</f>
        <v>0</v>
      </c>
      <c r="R98" s="15">
        <f>IF(Form_Responses1[[#This Row],[phan_loai_the_lam_sang]]="Choáng tim", 1, 0)</f>
        <v>0</v>
      </c>
      <c r="S98" s="2" t="s">
        <v>23</v>
      </c>
      <c r="T98" s="15">
        <v>84</v>
      </c>
      <c r="U98" s="15">
        <v>130</v>
      </c>
      <c r="V98" s="15">
        <v>80</v>
      </c>
      <c r="W98" s="15">
        <f>IF(Form_Responses1[[#This Row],[hcvc]]="Không", 0, 1)</f>
        <v>0</v>
      </c>
      <c r="X98" s="2" t="s">
        <v>21</v>
      </c>
      <c r="Y98" s="15">
        <f>IF(Form_Responses1[[#This Row],[suy_ho_hap]]="Không", 0, 1)</f>
        <v>0</v>
      </c>
      <c r="Z98" s="2" t="s">
        <v>21</v>
      </c>
      <c r="AA98" s="15">
        <f>IF(Form_Responses1[[#This Row],[rung_nhi]]="Không", 0, 1)</f>
        <v>0</v>
      </c>
      <c r="AB98" s="2" t="s">
        <v>21</v>
      </c>
      <c r="AC98" s="15">
        <v>481</v>
      </c>
      <c r="AD98" s="15">
        <v>7.0000000000000007E-2</v>
      </c>
      <c r="AE98" s="15">
        <v>10.07</v>
      </c>
      <c r="AF98" s="15">
        <v>134</v>
      </c>
      <c r="AG98" s="15">
        <v>181</v>
      </c>
      <c r="AH98" s="15">
        <v>140</v>
      </c>
      <c r="AI98" s="15">
        <v>2.9</v>
      </c>
      <c r="AJ98" s="15">
        <v>17</v>
      </c>
      <c r="AK98" s="15">
        <v>0.59</v>
      </c>
      <c r="AL98" s="2" t="s">
        <v>21</v>
      </c>
      <c r="AM98" s="28">
        <v>16278.5</v>
      </c>
      <c r="AN98" s="6">
        <f>IF(Form_Responses1[[#This Row],[NT_proBNP &gt; 35000]]="Có", 35001, Form_Responses1[[#This Row],[NT_ProBNP]])</f>
        <v>16278.5</v>
      </c>
      <c r="AO98" s="27">
        <f>IF(Form_Responses1[[#This Row],[NT_proBNP &gt; 35000]]="Có", 1, 0)</f>
        <v>0</v>
      </c>
      <c r="AP98" s="18"/>
      <c r="AQ98" s="15">
        <v>20</v>
      </c>
      <c r="AR98" s="15">
        <v>41</v>
      </c>
      <c r="AS98" s="18">
        <v>139</v>
      </c>
      <c r="AT98" s="15">
        <v>31</v>
      </c>
      <c r="AU98" s="15">
        <v>35</v>
      </c>
      <c r="AV98" s="15">
        <v>45</v>
      </c>
      <c r="AW98" s="15">
        <v>41</v>
      </c>
      <c r="AX98" s="18"/>
      <c r="AY98" s="26">
        <f>IF(Form_Responses1[[#This Row],[ket_cuc]]="Không tử vong", 0, 1)</f>
        <v>0</v>
      </c>
      <c r="AZ98" s="2" t="s">
        <v>24</v>
      </c>
      <c r="BA98" s="32">
        <v>38</v>
      </c>
      <c r="BB98" s="32">
        <v>8.0646151485547907E-2</v>
      </c>
    </row>
    <row r="99" spans="1:54" ht="13" x14ac:dyDescent="0.15">
      <c r="A99" s="1" t="s">
        <v>35</v>
      </c>
      <c r="B99" s="6">
        <v>68</v>
      </c>
      <c r="C99" s="6">
        <f>IF(Form_Responses1[[#This Row],[gioi_tinh]]="Nữ", 0, 1)</f>
        <v>1</v>
      </c>
      <c r="D99" s="1" t="s">
        <v>26</v>
      </c>
      <c r="E99" s="6">
        <v>25.16</v>
      </c>
      <c r="F99" s="6">
        <f>IF(Form_Responses1[[#This Row],[dai_thao_duong]]="Không", 0, 1)</f>
        <v>1</v>
      </c>
      <c r="G99" s="1" t="s">
        <v>22</v>
      </c>
      <c r="H99" s="6">
        <f t="shared" si="2"/>
        <v>1</v>
      </c>
      <c r="I99" s="1" t="s">
        <v>22</v>
      </c>
      <c r="J99" s="6">
        <f>IF(Form_Responses1[[#This Row],[hoi_chung_vanh_man]]="Không", 0, 1)</f>
        <v>0</v>
      </c>
      <c r="K99" s="1" t="s">
        <v>21</v>
      </c>
      <c r="L99" s="6">
        <f>IF(Form_Responses1[[#This Row],[ckd]]="Không", 0, 1)</f>
        <v>0</v>
      </c>
      <c r="M99" s="1" t="s">
        <v>21</v>
      </c>
      <c r="N99" s="6">
        <f t="shared" si="3"/>
        <v>0</v>
      </c>
      <c r="O99" s="1" t="s">
        <v>21</v>
      </c>
      <c r="P99" s="6">
        <f>IF(Form_Responses1[[#This Row],[phan_loai_the_lam_sang]]="Suy tim mất bù cấp", 1,0)</f>
        <v>1</v>
      </c>
      <c r="Q99" s="6">
        <f>IF(Form_Responses1[[#This Row],[phan_loai_the_lam_sang]]="Phù phổi cấp", 1, 0)</f>
        <v>0</v>
      </c>
      <c r="R99" s="6">
        <f>IF(Form_Responses1[[#This Row],[phan_loai_the_lam_sang]]="Choáng tim", 1, 0)</f>
        <v>0</v>
      </c>
      <c r="S99" s="1" t="s">
        <v>23</v>
      </c>
      <c r="T99" s="6">
        <v>140</v>
      </c>
      <c r="U99" s="6">
        <v>120</v>
      </c>
      <c r="V99" s="6">
        <v>80</v>
      </c>
      <c r="W99" s="6">
        <f>IF(Form_Responses1[[#This Row],[hcvc]]="Không", 0, 1)</f>
        <v>0</v>
      </c>
      <c r="X99" s="1" t="s">
        <v>21</v>
      </c>
      <c r="Y99" s="6">
        <f>IF(Form_Responses1[[#This Row],[suy_ho_hap]]="Không", 0, 1)</f>
        <v>1</v>
      </c>
      <c r="Z99" s="1" t="s">
        <v>22</v>
      </c>
      <c r="AA99" s="6">
        <f>IF(Form_Responses1[[#This Row],[rung_nhi]]="Không", 0, 1)</f>
        <v>1</v>
      </c>
      <c r="AB99" s="1" t="s">
        <v>22</v>
      </c>
      <c r="AC99" s="6">
        <v>358</v>
      </c>
      <c r="AD99" s="6">
        <v>0.08</v>
      </c>
      <c r="AE99" s="6">
        <v>16.440000000000001</v>
      </c>
      <c r="AF99" s="6">
        <v>121</v>
      </c>
      <c r="AG99" s="6">
        <v>187</v>
      </c>
      <c r="AH99" s="6">
        <v>136</v>
      </c>
      <c r="AI99" s="6">
        <v>4.0999999999999996</v>
      </c>
      <c r="AJ99" s="6">
        <v>15</v>
      </c>
      <c r="AK99" s="6">
        <v>0.73</v>
      </c>
      <c r="AL99" s="1" t="s">
        <v>21</v>
      </c>
      <c r="AM99" s="28">
        <v>3059.7</v>
      </c>
      <c r="AN99" s="6">
        <f>IF(Form_Responses1[[#This Row],[NT_proBNP &gt; 35000]]="Có", 35001, Form_Responses1[[#This Row],[NT_ProBNP]])</f>
        <v>3059.7</v>
      </c>
      <c r="AO99" s="27">
        <f>IF(Form_Responses1[[#This Row],[NT_proBNP &gt; 35000]]="Có", 1, 0)</f>
        <v>0</v>
      </c>
      <c r="AP99" s="6">
        <v>12</v>
      </c>
      <c r="AQ99" s="6">
        <v>30</v>
      </c>
      <c r="AR99" s="6">
        <v>23</v>
      </c>
      <c r="AS99" s="6">
        <v>157</v>
      </c>
      <c r="AT99" s="6">
        <v>50</v>
      </c>
      <c r="AU99" s="6">
        <v>38</v>
      </c>
      <c r="AV99" s="6">
        <v>47</v>
      </c>
      <c r="AW99" s="6">
        <v>40</v>
      </c>
      <c r="AX99" s="6">
        <v>45</v>
      </c>
      <c r="AY99" s="24">
        <f>IF(Form_Responses1[[#This Row],[ket_cuc]]="Không tử vong", 0, 1)</f>
        <v>0</v>
      </c>
      <c r="AZ99" s="1" t="s">
        <v>24</v>
      </c>
      <c r="BA99" s="32">
        <v>44</v>
      </c>
      <c r="BB99" s="32">
        <v>0.10474310287713333</v>
      </c>
    </row>
    <row r="100" spans="1:54" ht="13" x14ac:dyDescent="0.15">
      <c r="A100" s="2" t="s">
        <v>113</v>
      </c>
      <c r="B100" s="15">
        <v>59</v>
      </c>
      <c r="C100" s="15">
        <f>IF(Form_Responses1[[#This Row],[gioi_tinh]]="Nữ", 0, 1)</f>
        <v>1</v>
      </c>
      <c r="D100" s="2" t="s">
        <v>26</v>
      </c>
      <c r="E100" s="15">
        <v>23.4</v>
      </c>
      <c r="F100" s="15">
        <f>IF(Form_Responses1[[#This Row],[dai_thao_duong]]="Không", 0, 1)</f>
        <v>1</v>
      </c>
      <c r="G100" s="2" t="s">
        <v>22</v>
      </c>
      <c r="H100" s="15">
        <f t="shared" si="2"/>
        <v>1</v>
      </c>
      <c r="I100" s="2" t="s">
        <v>22</v>
      </c>
      <c r="J100" s="15">
        <f>IF(Form_Responses1[[#This Row],[hoi_chung_vanh_man]]="Không", 0, 1)</f>
        <v>1</v>
      </c>
      <c r="K100" s="2" t="s">
        <v>22</v>
      </c>
      <c r="L100" s="15">
        <f>IF(Form_Responses1[[#This Row],[ckd]]="Không", 0, 1)</f>
        <v>0</v>
      </c>
      <c r="M100" s="2" t="s">
        <v>21</v>
      </c>
      <c r="N100" s="15">
        <f t="shared" si="3"/>
        <v>0</v>
      </c>
      <c r="O100" s="2" t="s">
        <v>21</v>
      </c>
      <c r="P100" s="15">
        <f>IF(Form_Responses1[[#This Row],[phan_loai_the_lam_sang]]="Suy tim mất bù cấp", 1,0)</f>
        <v>0</v>
      </c>
      <c r="Q100" s="15">
        <f>IF(Form_Responses1[[#This Row],[phan_loai_the_lam_sang]]="Phù phổi cấp", 1, 0)</f>
        <v>1</v>
      </c>
      <c r="R100" s="15">
        <f>IF(Form_Responses1[[#This Row],[phan_loai_the_lam_sang]]="Choáng tim", 1, 0)</f>
        <v>0</v>
      </c>
      <c r="S100" s="2" t="s">
        <v>45</v>
      </c>
      <c r="T100" s="15">
        <v>93</v>
      </c>
      <c r="U100" s="15">
        <v>160</v>
      </c>
      <c r="V100" s="15">
        <v>90</v>
      </c>
      <c r="W100" s="15">
        <f>IF(Form_Responses1[[#This Row],[hcvc]]="Không", 0, 1)</f>
        <v>0</v>
      </c>
      <c r="X100" s="2" t="s">
        <v>21</v>
      </c>
      <c r="Y100" s="15">
        <f>IF(Form_Responses1[[#This Row],[suy_ho_hap]]="Không", 0, 1)</f>
        <v>0</v>
      </c>
      <c r="Z100" s="2" t="s">
        <v>21</v>
      </c>
      <c r="AA100" s="15">
        <f>IF(Form_Responses1[[#This Row],[rung_nhi]]="Không", 0, 1)</f>
        <v>0</v>
      </c>
      <c r="AB100" s="2" t="s">
        <v>21</v>
      </c>
      <c r="AC100" s="15">
        <v>508</v>
      </c>
      <c r="AD100" s="15">
        <v>0.08</v>
      </c>
      <c r="AE100" s="15">
        <v>5.1100000000000003</v>
      </c>
      <c r="AF100" s="15">
        <v>85</v>
      </c>
      <c r="AG100" s="15">
        <v>161</v>
      </c>
      <c r="AH100" s="15">
        <v>134</v>
      </c>
      <c r="AI100" s="15">
        <v>4.2</v>
      </c>
      <c r="AJ100" s="15">
        <v>33</v>
      </c>
      <c r="AK100" s="15">
        <v>1.27</v>
      </c>
      <c r="AL100" s="2" t="s">
        <v>21</v>
      </c>
      <c r="AM100" s="2">
        <v>21002.9</v>
      </c>
      <c r="AN100" s="6">
        <f>IF(Form_Responses1[[#This Row],[NT_proBNP &gt; 35000]]="Có", 35001, Form_Responses1[[#This Row],[NT_ProBNP]])</f>
        <v>21002.9</v>
      </c>
      <c r="AO100" s="15">
        <f>IF(Form_Responses1[[#This Row],[NT_proBNP &gt; 35000]]="Có", 1, 0)</f>
        <v>0</v>
      </c>
      <c r="AP100" s="15">
        <v>43.5</v>
      </c>
      <c r="AQ100" s="15">
        <v>24</v>
      </c>
      <c r="AR100" s="15">
        <v>13</v>
      </c>
      <c r="AS100" s="15">
        <v>122</v>
      </c>
      <c r="AT100" s="15">
        <v>46.3</v>
      </c>
      <c r="AU100" s="15">
        <v>45.7</v>
      </c>
      <c r="AV100" s="15">
        <v>57.1</v>
      </c>
      <c r="AW100" s="15">
        <v>40</v>
      </c>
      <c r="AX100" s="27">
        <v>35</v>
      </c>
      <c r="AY100" s="29">
        <f>IF(Form_Responses1[[#This Row],[ket_cuc]]="Không tử vong", 0, 1)</f>
        <v>0</v>
      </c>
      <c r="AZ100" s="2" t="s">
        <v>24</v>
      </c>
      <c r="BA100" s="32">
        <v>34</v>
      </c>
      <c r="BB100" s="32">
        <v>5.5677059589539273E-2</v>
      </c>
    </row>
    <row r="101" spans="1:54" ht="13" x14ac:dyDescent="0.15">
      <c r="A101" s="1" t="s">
        <v>179</v>
      </c>
      <c r="B101" s="6">
        <v>85</v>
      </c>
      <c r="C101" s="6">
        <f>IF(Form_Responses1[[#This Row],[gioi_tinh]]="Nữ", 0, 1)</f>
        <v>0</v>
      </c>
      <c r="D101" s="1" t="s">
        <v>20</v>
      </c>
      <c r="E101" s="6">
        <v>19.7</v>
      </c>
      <c r="F101" s="6">
        <f>IF(Form_Responses1[[#This Row],[dai_thao_duong]]="Không", 0, 1)</f>
        <v>1</v>
      </c>
      <c r="G101" s="1" t="s">
        <v>22</v>
      </c>
      <c r="H101" s="6">
        <f t="shared" si="2"/>
        <v>1</v>
      </c>
      <c r="I101" s="1" t="s">
        <v>22</v>
      </c>
      <c r="J101" s="6">
        <f>IF(Form_Responses1[[#This Row],[hoi_chung_vanh_man]]="Không", 0, 1)</f>
        <v>0</v>
      </c>
      <c r="K101" s="1" t="s">
        <v>21</v>
      </c>
      <c r="L101" s="6">
        <f>IF(Form_Responses1[[#This Row],[ckd]]="Không", 0, 1)</f>
        <v>0</v>
      </c>
      <c r="M101" s="1" t="s">
        <v>21</v>
      </c>
      <c r="N101" s="6">
        <f t="shared" si="3"/>
        <v>0</v>
      </c>
      <c r="O101" s="1" t="s">
        <v>21</v>
      </c>
      <c r="P101" s="6">
        <f>IF(Form_Responses1[[#This Row],[phan_loai_the_lam_sang]]="Suy tim mất bù cấp", 1,0)</f>
        <v>1</v>
      </c>
      <c r="Q101" s="6">
        <f>IF(Form_Responses1[[#This Row],[phan_loai_the_lam_sang]]="Phù phổi cấp", 1, 0)</f>
        <v>0</v>
      </c>
      <c r="R101" s="6">
        <f>IF(Form_Responses1[[#This Row],[phan_loai_the_lam_sang]]="Choáng tim", 1, 0)</f>
        <v>0</v>
      </c>
      <c r="S101" s="1" t="s">
        <v>23</v>
      </c>
      <c r="T101" s="6">
        <v>88</v>
      </c>
      <c r="U101" s="6">
        <v>80</v>
      </c>
      <c r="V101" s="6">
        <v>50</v>
      </c>
      <c r="W101" s="6">
        <f>IF(Form_Responses1[[#This Row],[hcvc]]="Không", 0, 1)</f>
        <v>0</v>
      </c>
      <c r="X101" s="1" t="s">
        <v>21</v>
      </c>
      <c r="Y101" s="6">
        <f>IF(Form_Responses1[[#This Row],[suy_ho_hap]]="Không", 0, 1)</f>
        <v>1</v>
      </c>
      <c r="Z101" s="1" t="s">
        <v>22</v>
      </c>
      <c r="AA101" s="6">
        <f>IF(Form_Responses1[[#This Row],[rung_nhi]]="Không", 0, 1)</f>
        <v>1</v>
      </c>
      <c r="AB101" s="1" t="s">
        <v>22</v>
      </c>
      <c r="AC101" s="6">
        <v>389</v>
      </c>
      <c r="AD101" s="6">
        <v>0.12</v>
      </c>
      <c r="AE101" s="6">
        <v>6.98</v>
      </c>
      <c r="AF101" s="6">
        <v>99</v>
      </c>
      <c r="AG101" s="6">
        <v>191</v>
      </c>
      <c r="AH101" s="6">
        <v>148</v>
      </c>
      <c r="AI101" s="6">
        <v>4.3</v>
      </c>
      <c r="AJ101" s="6">
        <v>57</v>
      </c>
      <c r="AK101" s="6">
        <v>2.88</v>
      </c>
      <c r="AL101" s="1" t="s">
        <v>21</v>
      </c>
      <c r="AM101" s="1">
        <v>2221</v>
      </c>
      <c r="AN101" s="6">
        <f>IF(Form_Responses1[[#This Row],[NT_proBNP &gt; 35000]]="Có", 35001, Form_Responses1[[#This Row],[NT_ProBNP]])</f>
        <v>2221</v>
      </c>
      <c r="AO101" s="6">
        <f>IF(Form_Responses1[[#This Row],[NT_proBNP &gt; 35000]]="Có", 1, 0)</f>
        <v>0</v>
      </c>
      <c r="AP101" s="6">
        <v>60.3</v>
      </c>
      <c r="AQ101" s="6">
        <v>34</v>
      </c>
      <c r="AR101" s="6">
        <v>19</v>
      </c>
      <c r="AS101" s="6">
        <v>208</v>
      </c>
      <c r="AT101" s="13"/>
      <c r="AU101" s="6">
        <v>38.700000000000003</v>
      </c>
      <c r="AV101" s="6">
        <v>48.3</v>
      </c>
      <c r="AW101" s="6">
        <v>40</v>
      </c>
      <c r="AX101" s="6">
        <v>20</v>
      </c>
      <c r="AY101" s="24">
        <f>IF(Form_Responses1[[#This Row],[ket_cuc]]="Không tử vong", 0, 1)</f>
        <v>0</v>
      </c>
      <c r="AZ101" s="1" t="s">
        <v>24</v>
      </c>
      <c r="BA101" s="32">
        <v>57</v>
      </c>
      <c r="BB101" s="32">
        <v>0.29508786591312308</v>
      </c>
    </row>
    <row r="102" spans="1:54" ht="13" x14ac:dyDescent="0.15">
      <c r="A102" s="2" t="s">
        <v>161</v>
      </c>
      <c r="B102" s="15">
        <v>39</v>
      </c>
      <c r="C102" s="15">
        <f>IF(Form_Responses1[[#This Row],[gioi_tinh]]="Nữ", 0, 1)</f>
        <v>0</v>
      </c>
      <c r="D102" s="2" t="s">
        <v>20</v>
      </c>
      <c r="E102" s="15">
        <v>22.7</v>
      </c>
      <c r="F102" s="15">
        <f>IF(Form_Responses1[[#This Row],[dai_thao_duong]]="Không", 0, 1)</f>
        <v>1</v>
      </c>
      <c r="G102" s="2" t="s">
        <v>22</v>
      </c>
      <c r="H102" s="15">
        <f t="shared" si="2"/>
        <v>0</v>
      </c>
      <c r="I102" s="2" t="s">
        <v>21</v>
      </c>
      <c r="J102" s="15">
        <f>IF(Form_Responses1[[#This Row],[hoi_chung_vanh_man]]="Không", 0, 1)</f>
        <v>1</v>
      </c>
      <c r="K102" s="2" t="s">
        <v>22</v>
      </c>
      <c r="L102" s="15">
        <f>IF(Form_Responses1[[#This Row],[ckd]]="Không", 0, 1)</f>
        <v>1</v>
      </c>
      <c r="M102" s="2" t="s">
        <v>22</v>
      </c>
      <c r="N102" s="15">
        <f t="shared" si="3"/>
        <v>0</v>
      </c>
      <c r="O102" s="2" t="s">
        <v>21</v>
      </c>
      <c r="P102" s="15">
        <f>IF(Form_Responses1[[#This Row],[phan_loai_the_lam_sang]]="Suy tim mất bù cấp", 1,0)</f>
        <v>0</v>
      </c>
      <c r="Q102" s="15">
        <f>IF(Form_Responses1[[#This Row],[phan_loai_the_lam_sang]]="Phù phổi cấp", 1, 0)</f>
        <v>1</v>
      </c>
      <c r="R102" s="15">
        <f>IF(Form_Responses1[[#This Row],[phan_loai_the_lam_sang]]="Choáng tim", 1, 0)</f>
        <v>0</v>
      </c>
      <c r="S102" s="2" t="s">
        <v>45</v>
      </c>
      <c r="T102" s="15">
        <v>90</v>
      </c>
      <c r="U102" s="15">
        <v>160</v>
      </c>
      <c r="V102" s="15">
        <v>80</v>
      </c>
      <c r="W102" s="15">
        <f>IF(Form_Responses1[[#This Row],[hcvc]]="Không", 0, 1)</f>
        <v>0</v>
      </c>
      <c r="X102" s="2" t="s">
        <v>21</v>
      </c>
      <c r="Y102" s="15">
        <f>IF(Form_Responses1[[#This Row],[suy_ho_hap]]="Không", 0, 1)</f>
        <v>1</v>
      </c>
      <c r="Z102" s="2" t="s">
        <v>22</v>
      </c>
      <c r="AA102" s="15">
        <f>IF(Form_Responses1[[#This Row],[rung_nhi]]="Không", 0, 1)</f>
        <v>0</v>
      </c>
      <c r="AB102" s="2" t="s">
        <v>21</v>
      </c>
      <c r="AC102" s="15">
        <v>406</v>
      </c>
      <c r="AD102" s="15">
        <v>7.0000000000000007E-2</v>
      </c>
      <c r="AE102" s="15">
        <v>6.11</v>
      </c>
      <c r="AF102" s="15">
        <v>100</v>
      </c>
      <c r="AG102" s="15">
        <v>300</v>
      </c>
      <c r="AH102" s="15">
        <v>133</v>
      </c>
      <c r="AI102" s="15">
        <v>4.2</v>
      </c>
      <c r="AJ102" s="15">
        <v>44</v>
      </c>
      <c r="AK102" s="15">
        <v>3.33</v>
      </c>
      <c r="AL102" s="2" t="s">
        <v>22</v>
      </c>
      <c r="AN102" s="6">
        <f>IF(Form_Responses1[[#This Row],[NT_proBNP &gt; 35000]]="Có", 35001, Form_Responses1[[#This Row],[NT_ProBNP]])</f>
        <v>35001</v>
      </c>
      <c r="AO102" s="5">
        <f>IF(Form_Responses1[[#This Row],[NT_proBNP &gt; 35000]]="Có", 1, 0)</f>
        <v>1</v>
      </c>
      <c r="AP102" s="15">
        <v>74</v>
      </c>
      <c r="AQ102" s="15">
        <v>41</v>
      </c>
      <c r="AR102" s="15">
        <v>41</v>
      </c>
      <c r="AS102" s="15">
        <v>233</v>
      </c>
      <c r="AT102" s="18"/>
      <c r="AU102" s="15">
        <v>39</v>
      </c>
      <c r="AV102" s="15">
        <v>48</v>
      </c>
      <c r="AW102" s="15">
        <v>40</v>
      </c>
      <c r="AX102" s="15">
        <v>75</v>
      </c>
      <c r="AY102" s="22">
        <f>IF(Form_Responses1[[#This Row],[ket_cuc]]="Không tử vong", 0, 1)</f>
        <v>0</v>
      </c>
      <c r="AZ102" s="2" t="s">
        <v>24</v>
      </c>
      <c r="BA102" s="32">
        <v>32</v>
      </c>
      <c r="BB102" s="32">
        <v>4.6486129238202271E-2</v>
      </c>
    </row>
    <row r="103" spans="1:54" ht="13" x14ac:dyDescent="0.15">
      <c r="A103" s="1" t="s">
        <v>280</v>
      </c>
      <c r="B103" s="6">
        <v>22</v>
      </c>
      <c r="C103" s="6">
        <f>IF(Form_Responses1[[#This Row],[gioi_tinh]]="Nữ", 0, 1)</f>
        <v>0</v>
      </c>
      <c r="D103" s="1" t="s">
        <v>20</v>
      </c>
      <c r="E103" s="6">
        <v>33.200000000000003</v>
      </c>
      <c r="F103" s="6">
        <f>IF(Form_Responses1[[#This Row],[dai_thao_duong]]="Không", 0, 1)</f>
        <v>0</v>
      </c>
      <c r="G103" s="1" t="s">
        <v>21</v>
      </c>
      <c r="H103" s="6">
        <f t="shared" si="2"/>
        <v>0</v>
      </c>
      <c r="I103" s="1" t="s">
        <v>21</v>
      </c>
      <c r="J103" s="6">
        <f>IF(Form_Responses1[[#This Row],[hoi_chung_vanh_man]]="Không", 0, 1)</f>
        <v>0</v>
      </c>
      <c r="K103" s="1" t="s">
        <v>21</v>
      </c>
      <c r="L103" s="6">
        <f>IF(Form_Responses1[[#This Row],[ckd]]="Không", 0, 1)</f>
        <v>0</v>
      </c>
      <c r="M103" s="1" t="s">
        <v>21</v>
      </c>
      <c r="N103" s="6">
        <f t="shared" si="3"/>
        <v>0</v>
      </c>
      <c r="O103" s="1" t="s">
        <v>21</v>
      </c>
      <c r="P103" s="6">
        <f>IF(Form_Responses1[[#This Row],[phan_loai_the_lam_sang]]="Suy tim mất bù cấp", 1,0)</f>
        <v>1</v>
      </c>
      <c r="Q103" s="6">
        <f>IF(Form_Responses1[[#This Row],[phan_loai_the_lam_sang]]="Phù phổi cấp", 1, 0)</f>
        <v>0</v>
      </c>
      <c r="R103" s="6">
        <f>IF(Form_Responses1[[#This Row],[phan_loai_the_lam_sang]]="Choáng tim", 1, 0)</f>
        <v>0</v>
      </c>
      <c r="S103" s="1" t="s">
        <v>23</v>
      </c>
      <c r="T103" s="6">
        <v>118</v>
      </c>
      <c r="U103" s="6">
        <v>170</v>
      </c>
      <c r="V103" s="6">
        <v>90</v>
      </c>
      <c r="W103" s="6">
        <f>IF(Form_Responses1[[#This Row],[hcvc]]="Không", 0, 1)</f>
        <v>0</v>
      </c>
      <c r="X103" s="1" t="s">
        <v>21</v>
      </c>
      <c r="Y103" s="6">
        <f>IF(Form_Responses1[[#This Row],[suy_ho_hap]]="Không", 0, 1)</f>
        <v>1</v>
      </c>
      <c r="Z103" s="1" t="s">
        <v>22</v>
      </c>
      <c r="AA103" s="6">
        <f>IF(Form_Responses1[[#This Row],[rung_nhi]]="Không", 0, 1)</f>
        <v>0</v>
      </c>
      <c r="AB103" s="1" t="s">
        <v>21</v>
      </c>
      <c r="AC103" s="6">
        <v>444</v>
      </c>
      <c r="AD103" s="6">
        <v>0.08</v>
      </c>
      <c r="AE103" s="6">
        <v>8.4</v>
      </c>
      <c r="AF103" s="6">
        <v>94</v>
      </c>
      <c r="AG103" s="6">
        <v>355</v>
      </c>
      <c r="AH103" s="6">
        <v>130</v>
      </c>
      <c r="AI103" s="6">
        <v>3.8</v>
      </c>
      <c r="AJ103" s="6">
        <v>13</v>
      </c>
      <c r="AK103" s="6">
        <v>0.85</v>
      </c>
      <c r="AL103" s="1" t="s">
        <v>21</v>
      </c>
      <c r="AM103" s="28">
        <v>4567.43</v>
      </c>
      <c r="AN103" s="6">
        <f>IF(Form_Responses1[[#This Row],[NT_proBNP &gt; 35000]]="Có", 35001, Form_Responses1[[#This Row],[NT_ProBNP]])</f>
        <v>4567.43</v>
      </c>
      <c r="AO103" s="27">
        <f>IF(Form_Responses1[[#This Row],[NT_proBNP &gt; 35000]]="Có", 1, 0)</f>
        <v>0</v>
      </c>
      <c r="AP103" s="6">
        <v>77.88</v>
      </c>
      <c r="AQ103" s="6">
        <v>42</v>
      </c>
      <c r="AR103" s="6">
        <v>44</v>
      </c>
      <c r="AS103" s="6">
        <v>163</v>
      </c>
      <c r="AT103" s="6">
        <v>40</v>
      </c>
      <c r="AU103" s="6">
        <v>47</v>
      </c>
      <c r="AV103" s="6">
        <v>59</v>
      </c>
      <c r="AW103" s="6">
        <v>40</v>
      </c>
      <c r="AX103" s="6">
        <v>58</v>
      </c>
      <c r="AY103" s="24">
        <f>IF(Form_Responses1[[#This Row],[ket_cuc]]="Không tử vong", 0, 1)</f>
        <v>0</v>
      </c>
      <c r="AZ103" s="1" t="s">
        <v>24</v>
      </c>
      <c r="BA103" s="32">
        <v>26</v>
      </c>
      <c r="BB103" s="32">
        <v>1.8110266979370421E-2</v>
      </c>
    </row>
    <row r="104" spans="1:54" ht="13" x14ac:dyDescent="0.15">
      <c r="A104" s="2" t="s">
        <v>169</v>
      </c>
      <c r="B104" s="15">
        <v>59</v>
      </c>
      <c r="C104" s="15">
        <f>IF(Form_Responses1[[#This Row],[gioi_tinh]]="Nữ", 0, 1)</f>
        <v>1</v>
      </c>
      <c r="D104" s="2" t="s">
        <v>26</v>
      </c>
      <c r="E104" s="15">
        <v>20.8</v>
      </c>
      <c r="F104" s="15">
        <f>IF(Form_Responses1[[#This Row],[dai_thao_duong]]="Không", 0, 1)</f>
        <v>1</v>
      </c>
      <c r="G104" s="2" t="s">
        <v>22</v>
      </c>
      <c r="H104" s="15">
        <f t="shared" si="2"/>
        <v>1</v>
      </c>
      <c r="I104" s="2" t="s">
        <v>22</v>
      </c>
      <c r="J104" s="15">
        <f>IF(Form_Responses1[[#This Row],[hoi_chung_vanh_man]]="Không", 0, 1)</f>
        <v>1</v>
      </c>
      <c r="K104" s="2" t="s">
        <v>22</v>
      </c>
      <c r="L104" s="15">
        <f>IF(Form_Responses1[[#This Row],[ckd]]="Không", 0, 1)</f>
        <v>0</v>
      </c>
      <c r="M104" s="2" t="s">
        <v>21</v>
      </c>
      <c r="N104" s="15">
        <f t="shared" si="3"/>
        <v>0</v>
      </c>
      <c r="O104" s="2" t="s">
        <v>21</v>
      </c>
      <c r="P104" s="15">
        <f>IF(Form_Responses1[[#This Row],[phan_loai_the_lam_sang]]="Suy tim mất bù cấp", 1,0)</f>
        <v>1</v>
      </c>
      <c r="Q104" s="15">
        <f>IF(Form_Responses1[[#This Row],[phan_loai_the_lam_sang]]="Phù phổi cấp", 1, 0)</f>
        <v>0</v>
      </c>
      <c r="R104" s="15">
        <f>IF(Form_Responses1[[#This Row],[phan_loai_the_lam_sang]]="Choáng tim", 1, 0)</f>
        <v>0</v>
      </c>
      <c r="S104" s="2" t="s">
        <v>23</v>
      </c>
      <c r="T104" s="15">
        <v>102</v>
      </c>
      <c r="U104" s="15">
        <v>150</v>
      </c>
      <c r="V104" s="15">
        <v>100</v>
      </c>
      <c r="W104" s="15">
        <f>IF(Form_Responses1[[#This Row],[hcvc]]="Không", 0, 1)</f>
        <v>0</v>
      </c>
      <c r="X104" s="2" t="s">
        <v>21</v>
      </c>
      <c r="Y104" s="15">
        <f>IF(Form_Responses1[[#This Row],[suy_ho_hap]]="Không", 0, 1)</f>
        <v>1</v>
      </c>
      <c r="Z104" s="2" t="s">
        <v>22</v>
      </c>
      <c r="AA104" s="15">
        <f>IF(Form_Responses1[[#This Row],[rung_nhi]]="Không", 0, 1)</f>
        <v>0</v>
      </c>
      <c r="AB104" s="2" t="s">
        <v>21</v>
      </c>
      <c r="AC104" s="15">
        <v>413</v>
      </c>
      <c r="AD104" s="15">
        <v>0.06</v>
      </c>
      <c r="AE104" s="15">
        <v>5.56</v>
      </c>
      <c r="AF104" s="15">
        <v>124</v>
      </c>
      <c r="AG104" s="15">
        <v>230</v>
      </c>
      <c r="AH104" s="15">
        <v>132</v>
      </c>
      <c r="AI104" s="15">
        <v>5.4</v>
      </c>
      <c r="AJ104" s="15">
        <v>33</v>
      </c>
      <c r="AK104" s="15">
        <v>0.97</v>
      </c>
      <c r="AL104" s="2" t="s">
        <v>21</v>
      </c>
      <c r="AM104" s="2">
        <v>12447.2</v>
      </c>
      <c r="AN104" s="6">
        <f>IF(Form_Responses1[[#This Row],[NT_proBNP &gt; 35000]]="Có", 35001, Form_Responses1[[#This Row],[NT_ProBNP]])</f>
        <v>12447.2</v>
      </c>
      <c r="AO104" s="15">
        <f>IF(Form_Responses1[[#This Row],[NT_proBNP &gt; 35000]]="Có", 1, 0)</f>
        <v>0</v>
      </c>
      <c r="AP104" s="15">
        <v>118.3</v>
      </c>
      <c r="AQ104" s="15">
        <v>19</v>
      </c>
      <c r="AR104" s="15">
        <v>21</v>
      </c>
      <c r="AS104" s="15">
        <v>511</v>
      </c>
      <c r="AT104" s="18"/>
      <c r="AU104" s="15">
        <v>49.3</v>
      </c>
      <c r="AV104" s="15">
        <v>64.2</v>
      </c>
      <c r="AW104" s="15">
        <v>40</v>
      </c>
      <c r="AX104" s="15">
        <v>30</v>
      </c>
      <c r="AY104" s="22">
        <f>IF(Form_Responses1[[#This Row],[ket_cuc]]="Không tử vong", 0, 1)</f>
        <v>0</v>
      </c>
      <c r="AZ104" s="2" t="s">
        <v>24</v>
      </c>
      <c r="BA104" s="32">
        <v>38</v>
      </c>
      <c r="BB104" s="32">
        <v>5.1906947975990367E-2</v>
      </c>
    </row>
    <row r="105" spans="1:54" ht="13" x14ac:dyDescent="0.15">
      <c r="A105" s="1" t="s">
        <v>140</v>
      </c>
      <c r="B105" s="6">
        <v>72</v>
      </c>
      <c r="C105" s="6">
        <f>IF(Form_Responses1[[#This Row],[gioi_tinh]]="Nữ", 0, 1)</f>
        <v>0</v>
      </c>
      <c r="D105" s="1" t="s">
        <v>20</v>
      </c>
      <c r="E105" s="6">
        <v>23.3</v>
      </c>
      <c r="F105" s="6">
        <f>IF(Form_Responses1[[#This Row],[dai_thao_duong]]="Không", 0, 1)</f>
        <v>1</v>
      </c>
      <c r="G105" s="1" t="s">
        <v>22</v>
      </c>
      <c r="H105" s="6">
        <f t="shared" si="2"/>
        <v>0</v>
      </c>
      <c r="I105" s="1" t="s">
        <v>21</v>
      </c>
      <c r="J105" s="6">
        <f>IF(Form_Responses1[[#This Row],[hoi_chung_vanh_man]]="Không", 0, 1)</f>
        <v>1</v>
      </c>
      <c r="K105" s="1" t="s">
        <v>22</v>
      </c>
      <c r="L105" s="6">
        <f>IF(Form_Responses1[[#This Row],[ckd]]="Không", 0, 1)</f>
        <v>0</v>
      </c>
      <c r="M105" s="1" t="s">
        <v>21</v>
      </c>
      <c r="N105" s="6">
        <f t="shared" si="3"/>
        <v>0</v>
      </c>
      <c r="O105" s="1" t="s">
        <v>21</v>
      </c>
      <c r="P105" s="6">
        <f>IF(Form_Responses1[[#This Row],[phan_loai_the_lam_sang]]="Suy tim mất bù cấp", 1,0)</f>
        <v>1</v>
      </c>
      <c r="Q105" s="6">
        <f>IF(Form_Responses1[[#This Row],[phan_loai_the_lam_sang]]="Phù phổi cấp", 1, 0)</f>
        <v>0</v>
      </c>
      <c r="R105" s="6">
        <f>IF(Form_Responses1[[#This Row],[phan_loai_the_lam_sang]]="Choáng tim", 1, 0)</f>
        <v>0</v>
      </c>
      <c r="S105" s="1" t="s">
        <v>23</v>
      </c>
      <c r="T105" s="6">
        <v>65</v>
      </c>
      <c r="U105" s="6">
        <v>80</v>
      </c>
      <c r="V105" s="6">
        <v>50</v>
      </c>
      <c r="W105" s="6">
        <f>IF(Form_Responses1[[#This Row],[hcvc]]="Không", 0, 1)</f>
        <v>0</v>
      </c>
      <c r="X105" s="1" t="s">
        <v>21</v>
      </c>
      <c r="Y105" s="6">
        <f>IF(Form_Responses1[[#This Row],[suy_ho_hap]]="Không", 0, 1)</f>
        <v>0</v>
      </c>
      <c r="Z105" s="1" t="s">
        <v>21</v>
      </c>
      <c r="AA105" s="6">
        <f>IF(Form_Responses1[[#This Row],[rung_nhi]]="Không", 0, 1)</f>
        <v>0</v>
      </c>
      <c r="AB105" s="1" t="s">
        <v>21</v>
      </c>
      <c r="AC105" s="6">
        <v>562</v>
      </c>
      <c r="AD105" s="6">
        <v>0.08</v>
      </c>
      <c r="AE105" s="6">
        <v>17.309999999999999</v>
      </c>
      <c r="AF105" s="6">
        <v>71</v>
      </c>
      <c r="AG105" s="6">
        <v>313</v>
      </c>
      <c r="AH105" s="6">
        <v>132</v>
      </c>
      <c r="AI105" s="6">
        <v>3.2</v>
      </c>
      <c r="AJ105" s="6">
        <v>67</v>
      </c>
      <c r="AK105" s="6">
        <v>1.32</v>
      </c>
      <c r="AL105" s="1" t="s">
        <v>21</v>
      </c>
      <c r="AM105" s="28">
        <v>4776.1499999999996</v>
      </c>
      <c r="AN105" s="6">
        <f>IF(Form_Responses1[[#This Row],[NT_proBNP &gt; 35000]]="Có", 35001, Form_Responses1[[#This Row],[NT_ProBNP]])</f>
        <v>4776.1499999999996</v>
      </c>
      <c r="AO105" s="27">
        <f>IF(Form_Responses1[[#This Row],[NT_proBNP &gt; 35000]]="Có", 1, 0)</f>
        <v>0</v>
      </c>
      <c r="AP105" s="6">
        <v>397.47</v>
      </c>
      <c r="AQ105" s="13">
        <v>27</v>
      </c>
      <c r="AR105" s="13">
        <v>21</v>
      </c>
      <c r="AS105" s="13">
        <v>347</v>
      </c>
      <c r="AT105" s="13"/>
      <c r="AU105" s="6">
        <v>37.1</v>
      </c>
      <c r="AV105" s="6">
        <v>52.3</v>
      </c>
      <c r="AW105" s="6">
        <v>40</v>
      </c>
      <c r="AX105" s="13"/>
      <c r="AY105" s="23">
        <f>IF(Form_Responses1[[#This Row],[ket_cuc]]="Không tử vong", 0, 1)</f>
        <v>0</v>
      </c>
      <c r="AZ105" s="1" t="s">
        <v>24</v>
      </c>
      <c r="BA105" s="32">
        <v>57</v>
      </c>
      <c r="BB105" s="32">
        <v>0.2084159866254604</v>
      </c>
    </row>
    <row r="106" spans="1:54" ht="13" x14ac:dyDescent="0.15">
      <c r="A106" s="2" t="s">
        <v>244</v>
      </c>
      <c r="B106" s="15">
        <v>71</v>
      </c>
      <c r="C106" s="15">
        <f>IF(Form_Responses1[[#This Row],[gioi_tinh]]="Nữ", 0, 1)</f>
        <v>0</v>
      </c>
      <c r="D106" s="2" t="s">
        <v>20</v>
      </c>
      <c r="E106" s="15">
        <v>24</v>
      </c>
      <c r="F106" s="15">
        <f>IF(Form_Responses1[[#This Row],[dai_thao_duong]]="Không", 0, 1)</f>
        <v>1</v>
      </c>
      <c r="G106" s="2" t="s">
        <v>22</v>
      </c>
      <c r="H106" s="15">
        <f t="shared" si="2"/>
        <v>0</v>
      </c>
      <c r="I106" s="2" t="s">
        <v>21</v>
      </c>
      <c r="J106" s="15">
        <f>IF(Form_Responses1[[#This Row],[hoi_chung_vanh_man]]="Không", 0, 1)</f>
        <v>0</v>
      </c>
      <c r="K106" s="2" t="s">
        <v>21</v>
      </c>
      <c r="L106" s="15">
        <f>IF(Form_Responses1[[#This Row],[ckd]]="Không", 0, 1)</f>
        <v>0</v>
      </c>
      <c r="M106" s="2" t="s">
        <v>21</v>
      </c>
      <c r="N106" s="15">
        <f t="shared" si="3"/>
        <v>0</v>
      </c>
      <c r="O106" s="2" t="s">
        <v>21</v>
      </c>
      <c r="P106" s="15">
        <f>IF(Form_Responses1[[#This Row],[phan_loai_the_lam_sang]]="Suy tim mất bù cấp", 1,0)</f>
        <v>1</v>
      </c>
      <c r="Q106" s="15">
        <f>IF(Form_Responses1[[#This Row],[phan_loai_the_lam_sang]]="Phù phổi cấp", 1, 0)</f>
        <v>0</v>
      </c>
      <c r="R106" s="15">
        <f>IF(Form_Responses1[[#This Row],[phan_loai_the_lam_sang]]="Choáng tim", 1, 0)</f>
        <v>0</v>
      </c>
      <c r="S106" s="2" t="s">
        <v>23</v>
      </c>
      <c r="T106" s="15">
        <v>94</v>
      </c>
      <c r="U106" s="15">
        <v>120</v>
      </c>
      <c r="V106" s="15">
        <v>80</v>
      </c>
      <c r="W106" s="15">
        <f>IF(Form_Responses1[[#This Row],[hcvc]]="Không", 0, 1)</f>
        <v>0</v>
      </c>
      <c r="X106" s="2" t="s">
        <v>21</v>
      </c>
      <c r="Y106" s="15">
        <f>IF(Form_Responses1[[#This Row],[suy_ho_hap]]="Không", 0, 1)</f>
        <v>1</v>
      </c>
      <c r="Z106" s="2" t="s">
        <v>22</v>
      </c>
      <c r="AA106" s="15">
        <f>IF(Form_Responses1[[#This Row],[rung_nhi]]="Không", 0, 1)</f>
        <v>0</v>
      </c>
      <c r="AB106" s="2" t="s">
        <v>21</v>
      </c>
      <c r="AC106" s="15">
        <v>485</v>
      </c>
      <c r="AD106" s="15">
        <v>7.0000000000000007E-2</v>
      </c>
      <c r="AE106" s="15">
        <v>7.8</v>
      </c>
      <c r="AF106" s="15">
        <v>104</v>
      </c>
      <c r="AG106" s="15">
        <v>265</v>
      </c>
      <c r="AH106" s="15">
        <v>132</v>
      </c>
      <c r="AI106" s="15">
        <v>3.4</v>
      </c>
      <c r="AJ106" s="15">
        <v>6</v>
      </c>
      <c r="AK106" s="15">
        <v>0.64</v>
      </c>
      <c r="AL106" s="2" t="s">
        <v>21</v>
      </c>
      <c r="AM106" s="2">
        <v>3337.01</v>
      </c>
      <c r="AN106" s="6">
        <f>IF(Form_Responses1[[#This Row],[NT_proBNP &gt; 35000]]="Có", 35001, Form_Responses1[[#This Row],[NT_ProBNP]])</f>
        <v>3337.01</v>
      </c>
      <c r="AO106" s="15">
        <f>IF(Form_Responses1[[#This Row],[NT_proBNP &gt; 35000]]="Có", 1, 0)</f>
        <v>0</v>
      </c>
      <c r="AP106" s="15">
        <v>624.20000000000005</v>
      </c>
      <c r="AQ106" s="15">
        <v>17</v>
      </c>
      <c r="AR106" s="15">
        <v>19</v>
      </c>
      <c r="AS106" s="15">
        <v>172</v>
      </c>
      <c r="AT106" s="18"/>
      <c r="AU106" s="15">
        <v>28.4</v>
      </c>
      <c r="AV106" s="15">
        <v>44</v>
      </c>
      <c r="AW106" s="15">
        <v>40</v>
      </c>
      <c r="AX106" s="27">
        <v>25</v>
      </c>
      <c r="AY106" s="29">
        <f>IF(Form_Responses1[[#This Row],[ket_cuc]]="Không tử vong", 0, 1)</f>
        <v>0</v>
      </c>
      <c r="AZ106" s="2" t="s">
        <v>24</v>
      </c>
      <c r="BA106" s="32">
        <v>42</v>
      </c>
      <c r="BB106" s="32">
        <v>5.4547075416569918E-2</v>
      </c>
    </row>
    <row r="107" spans="1:54" ht="13" x14ac:dyDescent="0.15">
      <c r="A107" s="1" t="s">
        <v>95</v>
      </c>
      <c r="B107" s="6">
        <v>79</v>
      </c>
      <c r="C107" s="6">
        <f>IF(Form_Responses1[[#This Row],[gioi_tinh]]="Nữ", 0, 1)</f>
        <v>0</v>
      </c>
      <c r="D107" s="1" t="s">
        <v>20</v>
      </c>
      <c r="E107" s="6">
        <v>20</v>
      </c>
      <c r="F107" s="6">
        <f>IF(Form_Responses1[[#This Row],[dai_thao_duong]]="Không", 0, 1)</f>
        <v>0</v>
      </c>
      <c r="G107" s="1" t="s">
        <v>21</v>
      </c>
      <c r="H107" s="6">
        <f t="shared" si="2"/>
        <v>0</v>
      </c>
      <c r="I107" s="1" t="s">
        <v>21</v>
      </c>
      <c r="J107" s="6">
        <f>IF(Form_Responses1[[#This Row],[hoi_chung_vanh_man]]="Không", 0, 1)</f>
        <v>0</v>
      </c>
      <c r="K107" s="1" t="s">
        <v>21</v>
      </c>
      <c r="L107" s="6">
        <f>IF(Form_Responses1[[#This Row],[ckd]]="Không", 0, 1)</f>
        <v>0</v>
      </c>
      <c r="M107" s="1" t="s">
        <v>21</v>
      </c>
      <c r="N107" s="6">
        <f t="shared" si="3"/>
        <v>0</v>
      </c>
      <c r="O107" s="1" t="s">
        <v>21</v>
      </c>
      <c r="P107" s="6">
        <f>IF(Form_Responses1[[#This Row],[phan_loai_the_lam_sang]]="Suy tim mất bù cấp", 1,0)</f>
        <v>1</v>
      </c>
      <c r="Q107" s="6">
        <f>IF(Form_Responses1[[#This Row],[phan_loai_the_lam_sang]]="Phù phổi cấp", 1, 0)</f>
        <v>0</v>
      </c>
      <c r="R107" s="6">
        <f>IF(Form_Responses1[[#This Row],[phan_loai_the_lam_sang]]="Choáng tim", 1, 0)</f>
        <v>0</v>
      </c>
      <c r="S107" s="1" t="s">
        <v>23</v>
      </c>
      <c r="T107" s="6">
        <v>128</v>
      </c>
      <c r="U107" s="6">
        <v>190</v>
      </c>
      <c r="V107" s="6">
        <v>120</v>
      </c>
      <c r="W107" s="6">
        <f>IF(Form_Responses1[[#This Row],[hcvc]]="Không", 0, 1)</f>
        <v>0</v>
      </c>
      <c r="X107" s="1" t="s">
        <v>21</v>
      </c>
      <c r="Y107" s="6">
        <f>IF(Form_Responses1[[#This Row],[suy_ho_hap]]="Không", 0, 1)</f>
        <v>0</v>
      </c>
      <c r="Z107" s="1" t="s">
        <v>21</v>
      </c>
      <c r="AA107" s="6">
        <f>IF(Form_Responses1[[#This Row],[rung_nhi]]="Không", 0, 1)</f>
        <v>0</v>
      </c>
      <c r="AB107" s="1" t="s">
        <v>21</v>
      </c>
      <c r="AC107" s="6">
        <v>428</v>
      </c>
      <c r="AD107" s="6">
        <v>0.05</v>
      </c>
      <c r="AE107" s="6">
        <v>10.18</v>
      </c>
      <c r="AF107" s="6">
        <v>75</v>
      </c>
      <c r="AG107" s="6">
        <v>596</v>
      </c>
      <c r="AH107" s="6">
        <v>138</v>
      </c>
      <c r="AI107" s="6">
        <v>4.0999999999999996</v>
      </c>
      <c r="AJ107" s="6">
        <v>6.1</v>
      </c>
      <c r="AK107" s="6">
        <v>0.56000000000000005</v>
      </c>
      <c r="AL107" s="1" t="s">
        <v>21</v>
      </c>
      <c r="AM107" s="1">
        <v>13141.9</v>
      </c>
      <c r="AN107" s="6">
        <f>IF(Form_Responses1[[#This Row],[NT_proBNP &gt; 35000]]="Có", 35001, Form_Responses1[[#This Row],[NT_ProBNP]])</f>
        <v>13141.9</v>
      </c>
      <c r="AO107" s="6">
        <f>IF(Form_Responses1[[#This Row],[NT_proBNP &gt; 35000]]="Có", 1, 0)</f>
        <v>0</v>
      </c>
      <c r="AP107" s="6">
        <v>679.5</v>
      </c>
      <c r="AQ107" s="6">
        <v>56</v>
      </c>
      <c r="AR107" s="6">
        <v>22</v>
      </c>
      <c r="AS107" s="27">
        <v>130</v>
      </c>
      <c r="AT107" s="6">
        <v>26.7</v>
      </c>
      <c r="AU107" s="6">
        <v>35.6</v>
      </c>
      <c r="AV107" s="6">
        <v>44.2</v>
      </c>
      <c r="AW107" s="6">
        <v>40</v>
      </c>
      <c r="AX107" s="27">
        <v>35</v>
      </c>
      <c r="AY107" s="29">
        <f>IF(Form_Responses1[[#This Row],[ket_cuc]]="Không tử vong", 0, 1)</f>
        <v>0</v>
      </c>
      <c r="AZ107" s="1" t="s">
        <v>24</v>
      </c>
      <c r="BA107" s="32">
        <v>31</v>
      </c>
      <c r="BB107" s="32">
        <v>5.0083617675633678E-2</v>
      </c>
    </row>
    <row r="108" spans="1:54" ht="13" x14ac:dyDescent="0.15">
      <c r="A108" s="2" t="s">
        <v>73</v>
      </c>
      <c r="B108" s="15">
        <v>67</v>
      </c>
      <c r="C108" s="15">
        <f>IF(Form_Responses1[[#This Row],[gioi_tinh]]="Nữ", 0, 1)</f>
        <v>0</v>
      </c>
      <c r="D108" s="2" t="s">
        <v>20</v>
      </c>
      <c r="E108" s="15">
        <v>20.8</v>
      </c>
      <c r="F108" s="15">
        <f>IF(Form_Responses1[[#This Row],[dai_thao_duong]]="Không", 0, 1)</f>
        <v>1</v>
      </c>
      <c r="G108" s="2" t="s">
        <v>22</v>
      </c>
      <c r="H108" s="15">
        <f t="shared" si="2"/>
        <v>1</v>
      </c>
      <c r="I108" s="2" t="s">
        <v>22</v>
      </c>
      <c r="J108" s="15">
        <f>IF(Form_Responses1[[#This Row],[hoi_chung_vanh_man]]="Không", 0, 1)</f>
        <v>1</v>
      </c>
      <c r="K108" s="2" t="s">
        <v>22</v>
      </c>
      <c r="L108" s="15">
        <f>IF(Form_Responses1[[#This Row],[ckd]]="Không", 0, 1)</f>
        <v>1</v>
      </c>
      <c r="M108" s="2" t="s">
        <v>22</v>
      </c>
      <c r="N108" s="15">
        <f t="shared" si="3"/>
        <v>0</v>
      </c>
      <c r="O108" s="2" t="s">
        <v>21</v>
      </c>
      <c r="P108" s="15">
        <f>IF(Form_Responses1[[#This Row],[phan_loai_the_lam_sang]]="Suy tim mất bù cấp", 1,0)</f>
        <v>0</v>
      </c>
      <c r="Q108" s="15">
        <f>IF(Form_Responses1[[#This Row],[phan_loai_the_lam_sang]]="Phù phổi cấp", 1, 0)</f>
        <v>1</v>
      </c>
      <c r="R108" s="15">
        <f>IF(Form_Responses1[[#This Row],[phan_loai_the_lam_sang]]="Choáng tim", 1, 0)</f>
        <v>0</v>
      </c>
      <c r="S108" s="2" t="s">
        <v>45</v>
      </c>
      <c r="T108" s="15">
        <v>100</v>
      </c>
      <c r="U108" s="15">
        <v>90</v>
      </c>
      <c r="V108" s="15">
        <v>60</v>
      </c>
      <c r="W108" s="15">
        <f>IF(Form_Responses1[[#This Row],[hcvc]]="Không", 0, 1)</f>
        <v>0</v>
      </c>
      <c r="X108" s="2" t="s">
        <v>21</v>
      </c>
      <c r="Y108" s="15">
        <f>IF(Form_Responses1[[#This Row],[suy_ho_hap]]="Không", 0, 1)</f>
        <v>1</v>
      </c>
      <c r="Z108" s="2" t="s">
        <v>22</v>
      </c>
      <c r="AA108" s="15">
        <f>IF(Form_Responses1[[#This Row],[rung_nhi]]="Không", 0, 1)</f>
        <v>0</v>
      </c>
      <c r="AB108" s="2" t="s">
        <v>21</v>
      </c>
      <c r="AC108" s="15">
        <v>450</v>
      </c>
      <c r="AD108" s="15">
        <v>0.06</v>
      </c>
      <c r="AE108" s="15">
        <v>14.16</v>
      </c>
      <c r="AF108" s="15">
        <v>84</v>
      </c>
      <c r="AG108" s="15">
        <v>152</v>
      </c>
      <c r="AH108" s="15">
        <v>129</v>
      </c>
      <c r="AI108" s="15">
        <v>4.2</v>
      </c>
      <c r="AJ108" s="15">
        <v>51</v>
      </c>
      <c r="AK108" s="15">
        <v>4.01</v>
      </c>
      <c r="AL108" s="2" t="s">
        <v>22</v>
      </c>
      <c r="AM108" s="12"/>
      <c r="AN108" s="6">
        <f>IF(Form_Responses1[[#This Row],[NT_proBNP &gt; 35000]]="Có", 35001, Form_Responses1[[#This Row],[NT_ProBNP]])</f>
        <v>35001</v>
      </c>
      <c r="AO108" s="18">
        <f>IF(Form_Responses1[[#This Row],[NT_proBNP &gt; 35000]]="Có", 1, 0)</f>
        <v>1</v>
      </c>
      <c r="AP108" s="15">
        <v>1350.72</v>
      </c>
      <c r="AQ108" s="27">
        <v>45</v>
      </c>
      <c r="AR108" s="27">
        <v>48</v>
      </c>
      <c r="AS108" s="27">
        <v>390</v>
      </c>
      <c r="AT108" s="27">
        <v>30.2</v>
      </c>
      <c r="AU108" s="15">
        <v>38.700000000000003</v>
      </c>
      <c r="AV108" s="15">
        <v>46.6</v>
      </c>
      <c r="AW108" s="15">
        <v>40</v>
      </c>
      <c r="AY108" s="25">
        <f>IF(Form_Responses1[[#This Row],[ket_cuc]]="Không tử vong", 0, 1)</f>
        <v>0</v>
      </c>
      <c r="AZ108" s="2" t="s">
        <v>24</v>
      </c>
      <c r="BA108" s="32">
        <v>57</v>
      </c>
      <c r="BB108" s="32">
        <v>0.17491301845404428</v>
      </c>
    </row>
    <row r="109" spans="1:54" ht="13" x14ac:dyDescent="0.15">
      <c r="A109" s="1" t="s">
        <v>64</v>
      </c>
      <c r="B109" s="6">
        <v>71</v>
      </c>
      <c r="C109" s="6">
        <f>IF(Form_Responses1[[#This Row],[gioi_tinh]]="Nữ", 0, 1)</f>
        <v>0</v>
      </c>
      <c r="D109" s="1" t="s">
        <v>20</v>
      </c>
      <c r="E109" s="6">
        <v>16.600000000000001</v>
      </c>
      <c r="F109" s="6">
        <f>IF(Form_Responses1[[#This Row],[dai_thao_duong]]="Không", 0, 1)</f>
        <v>0</v>
      </c>
      <c r="G109" s="1" t="s">
        <v>21</v>
      </c>
      <c r="H109" s="6">
        <f t="shared" si="2"/>
        <v>0</v>
      </c>
      <c r="I109" s="1" t="s">
        <v>21</v>
      </c>
      <c r="J109" s="6">
        <f>IF(Form_Responses1[[#This Row],[hoi_chung_vanh_man]]="Không", 0, 1)</f>
        <v>1</v>
      </c>
      <c r="K109" s="1" t="s">
        <v>22</v>
      </c>
      <c r="L109" s="6">
        <f>IF(Form_Responses1[[#This Row],[ckd]]="Không", 0, 1)</f>
        <v>1</v>
      </c>
      <c r="M109" s="1" t="s">
        <v>22</v>
      </c>
      <c r="N109" s="6">
        <f t="shared" si="3"/>
        <v>0</v>
      </c>
      <c r="O109" s="1" t="s">
        <v>21</v>
      </c>
      <c r="P109" s="6">
        <f>IF(Form_Responses1[[#This Row],[phan_loai_the_lam_sang]]="Suy tim mất bù cấp", 1,0)</f>
        <v>1</v>
      </c>
      <c r="Q109" s="6">
        <f>IF(Form_Responses1[[#This Row],[phan_loai_the_lam_sang]]="Phù phổi cấp", 1, 0)</f>
        <v>0</v>
      </c>
      <c r="R109" s="6">
        <f>IF(Form_Responses1[[#This Row],[phan_loai_the_lam_sang]]="Choáng tim", 1, 0)</f>
        <v>0</v>
      </c>
      <c r="S109" s="1" t="s">
        <v>23</v>
      </c>
      <c r="T109" s="6">
        <v>110</v>
      </c>
      <c r="U109" s="6">
        <v>160</v>
      </c>
      <c r="V109" s="6">
        <v>100</v>
      </c>
      <c r="W109" s="6">
        <f>IF(Form_Responses1[[#This Row],[hcvc]]="Không", 0, 1)</f>
        <v>0</v>
      </c>
      <c r="X109" s="1" t="s">
        <v>21</v>
      </c>
      <c r="Y109" s="6">
        <f>IF(Form_Responses1[[#This Row],[suy_ho_hap]]="Không", 0, 1)</f>
        <v>1</v>
      </c>
      <c r="Z109" s="1" t="s">
        <v>22</v>
      </c>
      <c r="AA109" s="6">
        <f>IF(Form_Responses1[[#This Row],[rung_nhi]]="Không", 0, 1)</f>
        <v>1</v>
      </c>
      <c r="AB109" s="1" t="s">
        <v>22</v>
      </c>
      <c r="AC109" s="6">
        <v>534</v>
      </c>
      <c r="AD109" s="6">
        <v>0.09</v>
      </c>
      <c r="AE109" s="6">
        <v>12.34</v>
      </c>
      <c r="AF109" s="6">
        <v>99</v>
      </c>
      <c r="AG109" s="6">
        <v>295</v>
      </c>
      <c r="AH109" s="6">
        <v>133</v>
      </c>
      <c r="AI109" s="6">
        <v>5.2</v>
      </c>
      <c r="AJ109" s="6">
        <v>8.9</v>
      </c>
      <c r="AK109" s="6">
        <v>2.41</v>
      </c>
      <c r="AL109" s="1" t="s">
        <v>22</v>
      </c>
      <c r="AN109" s="6">
        <f>IF(Form_Responses1[[#This Row],[NT_proBNP &gt; 35000]]="Có", 35001, Form_Responses1[[#This Row],[NT_ProBNP]])</f>
        <v>35001</v>
      </c>
      <c r="AO109" s="5">
        <f>IF(Form_Responses1[[#This Row],[NT_proBNP &gt; 35000]]="Có", 1, 0)</f>
        <v>1</v>
      </c>
      <c r="AP109" s="6">
        <v>1851.4</v>
      </c>
      <c r="AQ109" s="6">
        <v>26</v>
      </c>
      <c r="AR109" s="6">
        <v>9</v>
      </c>
      <c r="AS109" s="6">
        <v>127</v>
      </c>
      <c r="AT109" s="6">
        <v>32</v>
      </c>
      <c r="AU109" s="6">
        <v>52</v>
      </c>
      <c r="AV109" s="6">
        <v>61</v>
      </c>
      <c r="AW109" s="6">
        <v>40</v>
      </c>
      <c r="AX109" s="6">
        <v>52</v>
      </c>
      <c r="AY109" s="24">
        <f>IF(Form_Responses1[[#This Row],[ket_cuc]]="Không tử vong", 0, 1)</f>
        <v>0</v>
      </c>
      <c r="AZ109" s="1" t="s">
        <v>24</v>
      </c>
      <c r="BA109" s="32">
        <v>39</v>
      </c>
      <c r="BB109" s="32">
        <v>4.9008097883488186E-2</v>
      </c>
    </row>
    <row r="110" spans="1:54" ht="13" x14ac:dyDescent="0.15">
      <c r="A110" s="2" t="s">
        <v>324</v>
      </c>
      <c r="B110" s="15">
        <v>61</v>
      </c>
      <c r="C110" s="15">
        <f>IF(Form_Responses1[[#This Row],[gioi_tinh]]="Nữ", 0, 1)</f>
        <v>0</v>
      </c>
      <c r="D110" s="2" t="s">
        <v>20</v>
      </c>
      <c r="E110" s="15">
        <v>28.9</v>
      </c>
      <c r="F110" s="15">
        <f>IF(Form_Responses1[[#This Row],[dai_thao_duong]]="Không", 0, 1)</f>
        <v>1</v>
      </c>
      <c r="G110" s="2" t="s">
        <v>22</v>
      </c>
      <c r="H110" s="15">
        <f t="shared" si="2"/>
        <v>1</v>
      </c>
      <c r="I110" s="2" t="s">
        <v>22</v>
      </c>
      <c r="J110" s="15">
        <f>IF(Form_Responses1[[#This Row],[hoi_chung_vanh_man]]="Không", 0, 1)</f>
        <v>0</v>
      </c>
      <c r="K110" s="2" t="s">
        <v>21</v>
      </c>
      <c r="L110" s="15">
        <f>IF(Form_Responses1[[#This Row],[ckd]]="Không", 0, 1)</f>
        <v>1</v>
      </c>
      <c r="M110" s="2" t="s">
        <v>22</v>
      </c>
      <c r="N110" s="15">
        <f t="shared" si="3"/>
        <v>0</v>
      </c>
      <c r="O110" s="2" t="s">
        <v>21</v>
      </c>
      <c r="P110" s="15">
        <f>IF(Form_Responses1[[#This Row],[phan_loai_the_lam_sang]]="Suy tim mất bù cấp", 1,0)</f>
        <v>0</v>
      </c>
      <c r="Q110" s="15">
        <f>IF(Form_Responses1[[#This Row],[phan_loai_the_lam_sang]]="Phù phổi cấp", 1, 0)</f>
        <v>1</v>
      </c>
      <c r="R110" s="15">
        <f>IF(Form_Responses1[[#This Row],[phan_loai_the_lam_sang]]="Choáng tim", 1, 0)</f>
        <v>0</v>
      </c>
      <c r="S110" s="2" t="s">
        <v>45</v>
      </c>
      <c r="T110" s="15">
        <v>88</v>
      </c>
      <c r="U110" s="15">
        <v>170</v>
      </c>
      <c r="V110" s="15">
        <v>80</v>
      </c>
      <c r="W110" s="15">
        <f>IF(Form_Responses1[[#This Row],[hcvc]]="Không", 0, 1)</f>
        <v>1</v>
      </c>
      <c r="X110" s="2" t="s">
        <v>22</v>
      </c>
      <c r="Y110" s="15">
        <f>IF(Form_Responses1[[#This Row],[suy_ho_hap]]="Không", 0, 1)</f>
        <v>0</v>
      </c>
      <c r="Z110" s="2" t="s">
        <v>21</v>
      </c>
      <c r="AA110" s="15">
        <f>IF(Form_Responses1[[#This Row],[rung_nhi]]="Không", 0, 1)</f>
        <v>0</v>
      </c>
      <c r="AB110" s="2" t="s">
        <v>21</v>
      </c>
      <c r="AC110" s="15">
        <v>388</v>
      </c>
      <c r="AD110" s="15">
        <v>0.08</v>
      </c>
      <c r="AE110" s="15">
        <v>17.5</v>
      </c>
      <c r="AF110" s="15">
        <v>100</v>
      </c>
      <c r="AG110" s="15">
        <v>357</v>
      </c>
      <c r="AH110" s="15">
        <v>127</v>
      </c>
      <c r="AI110" s="15">
        <v>4.5999999999999996</v>
      </c>
      <c r="AJ110" s="15">
        <v>34</v>
      </c>
      <c r="AK110" s="15">
        <v>3.68</v>
      </c>
      <c r="AL110" s="2" t="s">
        <v>22</v>
      </c>
      <c r="AM110" s="12"/>
      <c r="AN110" s="6">
        <f>IF(Form_Responses1[[#This Row],[NT_proBNP &gt; 35000]]="Có", 35001, Form_Responses1[[#This Row],[NT_ProBNP]])</f>
        <v>35001</v>
      </c>
      <c r="AO110" s="18">
        <f>IF(Form_Responses1[[#This Row],[NT_proBNP &gt; 35000]]="Có", 1, 0)</f>
        <v>1</v>
      </c>
      <c r="AP110" s="15">
        <v>4303.8999999999996</v>
      </c>
      <c r="AQ110" s="15">
        <v>32</v>
      </c>
      <c r="AR110" s="15">
        <v>10</v>
      </c>
      <c r="AS110" s="15">
        <v>187</v>
      </c>
      <c r="AT110" s="27">
        <v>36.799999999999997</v>
      </c>
      <c r="AU110" s="15">
        <v>30.7</v>
      </c>
      <c r="AV110" s="15">
        <v>42.5</v>
      </c>
      <c r="AW110" s="15">
        <v>40</v>
      </c>
      <c r="AX110" s="18"/>
      <c r="AY110" s="26">
        <f>IF(Form_Responses1[[#This Row],[ket_cuc]]="Không tử vong", 0, 1)</f>
        <v>1</v>
      </c>
      <c r="AZ110" s="2" t="s">
        <v>29</v>
      </c>
      <c r="BA110" s="32">
        <v>36</v>
      </c>
      <c r="BB110" s="32">
        <v>6.750891046239646E-2</v>
      </c>
    </row>
    <row r="111" spans="1:54" ht="13" x14ac:dyDescent="0.15">
      <c r="A111" s="1" t="s">
        <v>164</v>
      </c>
      <c r="B111" s="6">
        <v>68</v>
      </c>
      <c r="C111" s="6">
        <f>IF(Form_Responses1[[#This Row],[gioi_tinh]]="Nữ", 0, 1)</f>
        <v>1</v>
      </c>
      <c r="D111" s="1" t="s">
        <v>26</v>
      </c>
      <c r="E111" s="6">
        <v>22.9</v>
      </c>
      <c r="F111" s="6">
        <f>IF(Form_Responses1[[#This Row],[dai_thao_duong]]="Không", 0, 1)</f>
        <v>0</v>
      </c>
      <c r="G111" s="1" t="s">
        <v>21</v>
      </c>
      <c r="H111" s="6">
        <f t="shared" si="2"/>
        <v>1</v>
      </c>
      <c r="I111" s="1" t="s">
        <v>22</v>
      </c>
      <c r="J111" s="6">
        <f>IF(Form_Responses1[[#This Row],[hoi_chung_vanh_man]]="Không", 0, 1)</f>
        <v>1</v>
      </c>
      <c r="K111" s="1" t="s">
        <v>22</v>
      </c>
      <c r="L111" s="6">
        <f>IF(Form_Responses1[[#This Row],[ckd]]="Không", 0, 1)</f>
        <v>0</v>
      </c>
      <c r="M111" s="1" t="s">
        <v>21</v>
      </c>
      <c r="N111" s="6">
        <f t="shared" si="3"/>
        <v>0</v>
      </c>
      <c r="O111" s="1" t="s">
        <v>21</v>
      </c>
      <c r="P111" s="6">
        <f>IF(Form_Responses1[[#This Row],[phan_loai_the_lam_sang]]="Suy tim mất bù cấp", 1,0)</f>
        <v>0</v>
      </c>
      <c r="Q111" s="6">
        <f>IF(Form_Responses1[[#This Row],[phan_loai_the_lam_sang]]="Phù phổi cấp", 1, 0)</f>
        <v>1</v>
      </c>
      <c r="R111" s="6">
        <f>IF(Form_Responses1[[#This Row],[phan_loai_the_lam_sang]]="Choáng tim", 1, 0)</f>
        <v>0</v>
      </c>
      <c r="S111" s="1" t="s">
        <v>45</v>
      </c>
      <c r="T111" s="6">
        <v>77</v>
      </c>
      <c r="U111" s="6">
        <v>130</v>
      </c>
      <c r="V111" s="6">
        <v>80</v>
      </c>
      <c r="W111" s="6">
        <f>IF(Form_Responses1[[#This Row],[hcvc]]="Không", 0, 1)</f>
        <v>1</v>
      </c>
      <c r="X111" s="1" t="s">
        <v>22</v>
      </c>
      <c r="Y111" s="6">
        <f>IF(Form_Responses1[[#This Row],[suy_ho_hap]]="Không", 0, 1)</f>
        <v>1</v>
      </c>
      <c r="Z111" s="1" t="s">
        <v>22</v>
      </c>
      <c r="AA111" s="6">
        <f>IF(Form_Responses1[[#This Row],[rung_nhi]]="Không", 0, 1)</f>
        <v>0</v>
      </c>
      <c r="AB111" s="1" t="s">
        <v>21</v>
      </c>
      <c r="AC111" s="6">
        <v>413</v>
      </c>
      <c r="AD111" s="6">
        <v>0.08</v>
      </c>
      <c r="AE111" s="6">
        <v>8.85</v>
      </c>
      <c r="AF111" s="6">
        <v>115</v>
      </c>
      <c r="AG111" s="6">
        <v>200</v>
      </c>
      <c r="AH111" s="6">
        <v>136</v>
      </c>
      <c r="AI111" s="6">
        <v>4.0999999999999996</v>
      </c>
      <c r="AJ111" s="6">
        <v>35</v>
      </c>
      <c r="AK111" s="6">
        <v>1.37</v>
      </c>
      <c r="AL111" s="1" t="s">
        <v>21</v>
      </c>
      <c r="AM111" s="1">
        <v>5465.62</v>
      </c>
      <c r="AN111" s="6">
        <f>IF(Form_Responses1[[#This Row],[NT_proBNP &gt; 35000]]="Có", 35001, Form_Responses1[[#This Row],[NT_ProBNP]])</f>
        <v>5465.62</v>
      </c>
      <c r="AO111" s="6">
        <f>IF(Form_Responses1[[#This Row],[NT_proBNP &gt; 35000]]="Có", 1, 0)</f>
        <v>0</v>
      </c>
      <c r="AP111" s="6">
        <v>5117</v>
      </c>
      <c r="AQ111" s="6">
        <v>2361</v>
      </c>
      <c r="AR111" s="6">
        <v>2356</v>
      </c>
      <c r="AS111" s="6">
        <v>107</v>
      </c>
      <c r="AT111" s="13"/>
      <c r="AU111" s="6">
        <v>45.4</v>
      </c>
      <c r="AV111" s="6">
        <v>56.4</v>
      </c>
      <c r="AW111" s="6">
        <v>40</v>
      </c>
      <c r="AX111" s="27">
        <v>30</v>
      </c>
      <c r="AY111" s="29">
        <f>IF(Form_Responses1[[#This Row],[ket_cuc]]="Không tử vong", 0, 1)</f>
        <v>0</v>
      </c>
      <c r="AZ111" s="1" t="s">
        <v>24</v>
      </c>
      <c r="BA111" s="32">
        <v>38</v>
      </c>
      <c r="BB111" s="32">
        <v>7.2635022363397819E-2</v>
      </c>
    </row>
    <row r="112" spans="1:54" ht="13" x14ac:dyDescent="0.15">
      <c r="A112" s="2" t="s">
        <v>69</v>
      </c>
      <c r="B112" s="15">
        <v>87</v>
      </c>
      <c r="C112" s="15">
        <f>IF(Form_Responses1[[#This Row],[gioi_tinh]]="Nữ", 0, 1)</f>
        <v>0</v>
      </c>
      <c r="D112" s="2" t="s">
        <v>20</v>
      </c>
      <c r="E112" s="15">
        <v>16.3</v>
      </c>
      <c r="F112" s="15">
        <f>IF(Form_Responses1[[#This Row],[dai_thao_duong]]="Không", 0, 1)</f>
        <v>0</v>
      </c>
      <c r="G112" s="2" t="s">
        <v>21</v>
      </c>
      <c r="H112" s="15">
        <f t="shared" si="2"/>
        <v>0</v>
      </c>
      <c r="I112" s="2" t="s">
        <v>21</v>
      </c>
      <c r="J112" s="15">
        <f>IF(Form_Responses1[[#This Row],[hoi_chung_vanh_man]]="Không", 0, 1)</f>
        <v>1</v>
      </c>
      <c r="K112" s="2" t="s">
        <v>22</v>
      </c>
      <c r="L112" s="15">
        <f>IF(Form_Responses1[[#This Row],[ckd]]="Không", 0, 1)</f>
        <v>0</v>
      </c>
      <c r="M112" s="2" t="s">
        <v>21</v>
      </c>
      <c r="N112" s="15">
        <f t="shared" si="3"/>
        <v>0</v>
      </c>
      <c r="O112" s="2" t="s">
        <v>21</v>
      </c>
      <c r="P112" s="15">
        <f>IF(Form_Responses1[[#This Row],[phan_loai_the_lam_sang]]="Suy tim mất bù cấp", 1,0)</f>
        <v>1</v>
      </c>
      <c r="Q112" s="15">
        <f>IF(Form_Responses1[[#This Row],[phan_loai_the_lam_sang]]="Phù phổi cấp", 1, 0)</f>
        <v>0</v>
      </c>
      <c r="R112" s="15">
        <f>IF(Form_Responses1[[#This Row],[phan_loai_the_lam_sang]]="Choáng tim", 1, 0)</f>
        <v>0</v>
      </c>
      <c r="S112" s="2" t="s">
        <v>23</v>
      </c>
      <c r="T112" s="15">
        <v>80</v>
      </c>
      <c r="U112" s="15">
        <v>120</v>
      </c>
      <c r="V112" s="15">
        <v>80</v>
      </c>
      <c r="W112" s="15">
        <f>IF(Form_Responses1[[#This Row],[hcvc]]="Không", 0, 1)</f>
        <v>0</v>
      </c>
      <c r="X112" s="2" t="s">
        <v>21</v>
      </c>
      <c r="Y112" s="15">
        <f>IF(Form_Responses1[[#This Row],[suy_ho_hap]]="Không", 0, 1)</f>
        <v>1</v>
      </c>
      <c r="Z112" s="2" t="s">
        <v>22</v>
      </c>
      <c r="AA112" s="15">
        <f>IF(Form_Responses1[[#This Row],[rung_nhi]]="Không", 0, 1)</f>
        <v>0</v>
      </c>
      <c r="AB112" s="2" t="s">
        <v>21</v>
      </c>
      <c r="AC112" s="15">
        <v>413</v>
      </c>
      <c r="AD112" s="15">
        <v>0.08</v>
      </c>
      <c r="AE112" s="15">
        <v>8.7100000000000009</v>
      </c>
      <c r="AF112" s="15">
        <v>97</v>
      </c>
      <c r="AG112" s="15">
        <v>699</v>
      </c>
      <c r="AH112" s="15">
        <v>130</v>
      </c>
      <c r="AI112" s="15">
        <v>5.8</v>
      </c>
      <c r="AJ112" s="15">
        <v>16.8</v>
      </c>
      <c r="AK112" s="15">
        <v>1.18</v>
      </c>
      <c r="AL112" s="2" t="s">
        <v>21</v>
      </c>
      <c r="AM112" s="2">
        <v>1027</v>
      </c>
      <c r="AN112" s="6">
        <f>IF(Form_Responses1[[#This Row],[NT_proBNP &gt; 35000]]="Có", 35001, Form_Responses1[[#This Row],[NT_ProBNP]])</f>
        <v>1027</v>
      </c>
      <c r="AO112" s="15">
        <f>IF(Form_Responses1[[#This Row],[NT_proBNP &gt; 35000]]="Có", 1, 0)</f>
        <v>0</v>
      </c>
      <c r="AP112" s="18"/>
      <c r="AQ112" s="15">
        <v>20</v>
      </c>
      <c r="AR112" s="15">
        <v>20</v>
      </c>
      <c r="AS112" s="15">
        <v>124</v>
      </c>
      <c r="AT112" s="15">
        <v>25</v>
      </c>
      <c r="AU112" s="15">
        <v>25</v>
      </c>
      <c r="AV112" s="15">
        <v>37</v>
      </c>
      <c r="AW112" s="15">
        <v>40</v>
      </c>
      <c r="AX112" s="27">
        <v>33</v>
      </c>
      <c r="AY112" s="29">
        <f>IF(Form_Responses1[[#This Row],[ket_cuc]]="Không tử vong", 0, 1)</f>
        <v>0</v>
      </c>
      <c r="AZ112" s="2" t="s">
        <v>24</v>
      </c>
      <c r="BA112" s="32">
        <v>44</v>
      </c>
      <c r="BB112" s="32">
        <v>8.7365101653092497E-2</v>
      </c>
    </row>
    <row r="113" spans="1:54" ht="13" x14ac:dyDescent="0.15">
      <c r="A113" s="1" t="s">
        <v>336</v>
      </c>
      <c r="B113" s="6">
        <v>69</v>
      </c>
      <c r="C113" s="6">
        <f>IF(Form_Responses1[[#This Row],[gioi_tinh]]="Nữ", 0, 1)</f>
        <v>1</v>
      </c>
      <c r="D113" s="1" t="s">
        <v>26</v>
      </c>
      <c r="E113" s="6">
        <v>20.8</v>
      </c>
      <c r="F113" s="6">
        <f>IF(Form_Responses1[[#This Row],[dai_thao_duong]]="Không", 0, 1)</f>
        <v>1</v>
      </c>
      <c r="G113" s="1" t="s">
        <v>22</v>
      </c>
      <c r="H113" s="6">
        <f t="shared" si="2"/>
        <v>1</v>
      </c>
      <c r="I113" s="1" t="s">
        <v>22</v>
      </c>
      <c r="J113" s="6">
        <f>IF(Form_Responses1[[#This Row],[hoi_chung_vanh_man]]="Không", 0, 1)</f>
        <v>0</v>
      </c>
      <c r="K113" s="1" t="s">
        <v>21</v>
      </c>
      <c r="L113" s="6">
        <f>IF(Form_Responses1[[#This Row],[ckd]]="Không", 0, 1)</f>
        <v>0</v>
      </c>
      <c r="M113" s="1" t="s">
        <v>21</v>
      </c>
      <c r="N113" s="6">
        <f t="shared" si="3"/>
        <v>0</v>
      </c>
      <c r="O113" s="1" t="s">
        <v>21</v>
      </c>
      <c r="P113" s="6">
        <f>IF(Form_Responses1[[#This Row],[phan_loai_the_lam_sang]]="Suy tim mất bù cấp", 1,0)</f>
        <v>1</v>
      </c>
      <c r="Q113" s="6">
        <f>IF(Form_Responses1[[#This Row],[phan_loai_the_lam_sang]]="Phù phổi cấp", 1, 0)</f>
        <v>0</v>
      </c>
      <c r="R113" s="6">
        <f>IF(Form_Responses1[[#This Row],[phan_loai_the_lam_sang]]="Choáng tim", 1, 0)</f>
        <v>0</v>
      </c>
      <c r="S113" s="1" t="s">
        <v>23</v>
      </c>
      <c r="T113" s="6">
        <v>88</v>
      </c>
      <c r="U113" s="6">
        <v>200</v>
      </c>
      <c r="V113" s="6">
        <v>100</v>
      </c>
      <c r="W113" s="6">
        <f>IF(Form_Responses1[[#This Row],[hcvc]]="Không", 0, 1)</f>
        <v>0</v>
      </c>
      <c r="X113" s="1" t="s">
        <v>21</v>
      </c>
      <c r="Y113" s="6">
        <f>IF(Form_Responses1[[#This Row],[suy_ho_hap]]="Không", 0, 1)</f>
        <v>0</v>
      </c>
      <c r="Z113" s="1" t="s">
        <v>21</v>
      </c>
      <c r="AA113" s="6">
        <f>IF(Form_Responses1[[#This Row],[rung_nhi]]="Không", 0, 1)</f>
        <v>0</v>
      </c>
      <c r="AB113" s="1" t="s">
        <v>21</v>
      </c>
      <c r="AC113" s="6">
        <v>459</v>
      </c>
      <c r="AD113" s="6">
        <v>0.06</v>
      </c>
      <c r="AE113" s="6">
        <v>9.6999999999999993</v>
      </c>
      <c r="AF113" s="6">
        <v>99</v>
      </c>
      <c r="AG113" s="6">
        <v>320</v>
      </c>
      <c r="AH113" s="6">
        <v>137</v>
      </c>
      <c r="AI113" s="6">
        <v>3.9</v>
      </c>
      <c r="AJ113" s="6">
        <v>30</v>
      </c>
      <c r="AK113" s="6">
        <v>1.27</v>
      </c>
      <c r="AL113" s="1" t="s">
        <v>21</v>
      </c>
      <c r="AM113" s="1">
        <v>15943.45</v>
      </c>
      <c r="AN113" s="6">
        <f>IF(Form_Responses1[[#This Row],[NT_proBNP &gt; 35000]]="Có", 35001, Form_Responses1[[#This Row],[NT_ProBNP]])</f>
        <v>15943.45</v>
      </c>
      <c r="AO113" s="6">
        <f>IF(Form_Responses1[[#This Row],[NT_proBNP &gt; 35000]]="Có", 1, 0)</f>
        <v>0</v>
      </c>
      <c r="AP113" s="13"/>
      <c r="AQ113" s="6">
        <v>37</v>
      </c>
      <c r="AR113" s="6">
        <v>41</v>
      </c>
      <c r="AS113" s="6">
        <v>238</v>
      </c>
      <c r="AT113" s="6">
        <v>27</v>
      </c>
      <c r="AU113" s="6">
        <v>40</v>
      </c>
      <c r="AV113" s="6">
        <v>52</v>
      </c>
      <c r="AW113" s="6">
        <v>40</v>
      </c>
      <c r="AX113" s="13"/>
      <c r="AY113" s="23">
        <f>IF(Form_Responses1[[#This Row],[ket_cuc]]="Không tử vong", 0, 1)</f>
        <v>0</v>
      </c>
      <c r="AZ113" s="1" t="s">
        <v>24</v>
      </c>
      <c r="BA113" s="32">
        <v>27</v>
      </c>
      <c r="BB113" s="32">
        <v>5.3962134886445655E-2</v>
      </c>
    </row>
    <row r="114" spans="1:54" ht="13" x14ac:dyDescent="0.15">
      <c r="A114" s="2" t="s">
        <v>315</v>
      </c>
      <c r="B114" s="15">
        <v>65</v>
      </c>
      <c r="C114" s="15">
        <f>IF(Form_Responses1[[#This Row],[gioi_tinh]]="Nữ", 0, 1)</f>
        <v>0</v>
      </c>
      <c r="D114" s="2" t="s">
        <v>20</v>
      </c>
      <c r="E114" s="15">
        <v>24</v>
      </c>
      <c r="F114" s="15">
        <f>IF(Form_Responses1[[#This Row],[dai_thao_duong]]="Không", 0, 1)</f>
        <v>0</v>
      </c>
      <c r="G114" s="2" t="s">
        <v>21</v>
      </c>
      <c r="H114" s="15">
        <f t="shared" si="2"/>
        <v>0</v>
      </c>
      <c r="I114" s="2" t="s">
        <v>21</v>
      </c>
      <c r="J114" s="15">
        <f>IF(Form_Responses1[[#This Row],[hoi_chung_vanh_man]]="Không", 0, 1)</f>
        <v>0</v>
      </c>
      <c r="K114" s="2" t="s">
        <v>21</v>
      </c>
      <c r="L114" s="15">
        <f>IF(Form_Responses1[[#This Row],[ckd]]="Không", 0, 1)</f>
        <v>0</v>
      </c>
      <c r="M114" s="2" t="s">
        <v>21</v>
      </c>
      <c r="N114" s="15">
        <f t="shared" si="3"/>
        <v>0</v>
      </c>
      <c r="O114" s="2" t="s">
        <v>21</v>
      </c>
      <c r="P114" s="15">
        <f>IF(Form_Responses1[[#This Row],[phan_loai_the_lam_sang]]="Suy tim mất bù cấp", 1,0)</f>
        <v>0</v>
      </c>
      <c r="Q114" s="15">
        <f>IF(Form_Responses1[[#This Row],[phan_loai_the_lam_sang]]="Phù phổi cấp", 1, 0)</f>
        <v>0</v>
      </c>
      <c r="R114" s="15">
        <f>IF(Form_Responses1[[#This Row],[phan_loai_the_lam_sang]]="Choáng tim", 1, 0)</f>
        <v>1</v>
      </c>
      <c r="S114" s="2" t="s">
        <v>28</v>
      </c>
      <c r="T114" s="15">
        <v>117</v>
      </c>
      <c r="U114" s="15">
        <v>80</v>
      </c>
      <c r="V114" s="15">
        <v>50</v>
      </c>
      <c r="W114" s="15">
        <f>IF(Form_Responses1[[#This Row],[hcvc]]="Không", 0, 1)</f>
        <v>0</v>
      </c>
      <c r="X114" s="2" t="s">
        <v>21</v>
      </c>
      <c r="Y114" s="15">
        <f>IF(Form_Responses1[[#This Row],[suy_ho_hap]]="Không", 0, 1)</f>
        <v>1</v>
      </c>
      <c r="Z114" s="2" t="s">
        <v>22</v>
      </c>
      <c r="AA114" s="15">
        <f>IF(Form_Responses1[[#This Row],[rung_nhi]]="Không", 0, 1)</f>
        <v>0</v>
      </c>
      <c r="AB114" s="2" t="s">
        <v>21</v>
      </c>
      <c r="AC114" s="15">
        <v>516</v>
      </c>
      <c r="AD114" s="15">
        <v>0.05</v>
      </c>
      <c r="AE114" s="15">
        <v>14.65</v>
      </c>
      <c r="AF114" s="15">
        <v>130</v>
      </c>
      <c r="AG114" s="15">
        <v>97</v>
      </c>
      <c r="AH114" s="15">
        <v>140</v>
      </c>
      <c r="AI114" s="15">
        <v>4.5999999999999996</v>
      </c>
      <c r="AJ114" s="15">
        <v>10.7</v>
      </c>
      <c r="AK114" s="15">
        <v>0.91</v>
      </c>
      <c r="AL114" s="2" t="s">
        <v>21</v>
      </c>
      <c r="AM114" s="28">
        <v>8422.65</v>
      </c>
      <c r="AN114" s="6">
        <f>IF(Form_Responses1[[#This Row],[NT_proBNP &gt; 35000]]="Có", 35001, Form_Responses1[[#This Row],[NT_ProBNP]])</f>
        <v>8422.65</v>
      </c>
      <c r="AO114" s="27">
        <f>IF(Form_Responses1[[#This Row],[NT_proBNP &gt; 35000]]="Có", 1, 0)</f>
        <v>0</v>
      </c>
      <c r="AP114" s="15">
        <v>16339.95</v>
      </c>
      <c r="AQ114" s="15">
        <v>159</v>
      </c>
      <c r="AR114" s="15">
        <v>56</v>
      </c>
      <c r="AS114" s="15">
        <v>142</v>
      </c>
      <c r="AT114" s="15">
        <v>29</v>
      </c>
      <c r="AU114" s="15">
        <v>38</v>
      </c>
      <c r="AV114" s="15">
        <v>47</v>
      </c>
      <c r="AW114" s="15">
        <v>40</v>
      </c>
      <c r="AX114" s="15">
        <v>30</v>
      </c>
      <c r="AY114" s="22">
        <f>IF(Form_Responses1[[#This Row],[ket_cuc]]="Không tử vong", 0, 1)</f>
        <v>0</v>
      </c>
      <c r="AZ114" s="2" t="s">
        <v>24</v>
      </c>
      <c r="BA114" s="32">
        <v>50</v>
      </c>
      <c r="BB114" s="32">
        <v>0.11420808222215789</v>
      </c>
    </row>
    <row r="115" spans="1:54" ht="13" x14ac:dyDescent="0.15">
      <c r="A115" s="1" t="s">
        <v>58</v>
      </c>
      <c r="B115" s="6">
        <v>88</v>
      </c>
      <c r="C115" s="6">
        <f>IF(Form_Responses1[[#This Row],[gioi_tinh]]="Nữ", 0, 1)</f>
        <v>1</v>
      </c>
      <c r="D115" s="1" t="s">
        <v>26</v>
      </c>
      <c r="E115" s="6">
        <v>20.8</v>
      </c>
      <c r="F115" s="6">
        <f>IF(Form_Responses1[[#This Row],[dai_thao_duong]]="Không", 0, 1)</f>
        <v>1</v>
      </c>
      <c r="G115" s="1" t="s">
        <v>22</v>
      </c>
      <c r="H115" s="6">
        <f t="shared" si="2"/>
        <v>1</v>
      </c>
      <c r="I115" s="1" t="s">
        <v>22</v>
      </c>
      <c r="J115" s="6">
        <f>IF(Form_Responses1[[#This Row],[hoi_chung_vanh_man]]="Không", 0, 1)</f>
        <v>0</v>
      </c>
      <c r="K115" s="1" t="s">
        <v>21</v>
      </c>
      <c r="L115" s="6">
        <f>IF(Form_Responses1[[#This Row],[ckd]]="Không", 0, 1)</f>
        <v>0</v>
      </c>
      <c r="M115" s="1" t="s">
        <v>21</v>
      </c>
      <c r="N115" s="6">
        <f t="shared" si="3"/>
        <v>0</v>
      </c>
      <c r="O115" s="1" t="s">
        <v>21</v>
      </c>
      <c r="P115" s="6">
        <f>IF(Form_Responses1[[#This Row],[phan_loai_the_lam_sang]]="Suy tim mất bù cấp", 1,0)</f>
        <v>1</v>
      </c>
      <c r="Q115" s="6">
        <f>IF(Form_Responses1[[#This Row],[phan_loai_the_lam_sang]]="Phù phổi cấp", 1, 0)</f>
        <v>0</v>
      </c>
      <c r="R115" s="6">
        <f>IF(Form_Responses1[[#This Row],[phan_loai_the_lam_sang]]="Choáng tim", 1, 0)</f>
        <v>0</v>
      </c>
      <c r="S115" s="1" t="s">
        <v>23</v>
      </c>
      <c r="T115" s="6">
        <v>119</v>
      </c>
      <c r="U115" s="6">
        <v>150</v>
      </c>
      <c r="V115" s="6">
        <v>70</v>
      </c>
      <c r="W115" s="6">
        <f>IF(Form_Responses1[[#This Row],[hcvc]]="Không", 0, 1)</f>
        <v>0</v>
      </c>
      <c r="X115" s="1" t="s">
        <v>21</v>
      </c>
      <c r="Y115" s="6">
        <f>IF(Form_Responses1[[#This Row],[suy_ho_hap]]="Không", 0, 1)</f>
        <v>1</v>
      </c>
      <c r="Z115" s="1" t="s">
        <v>22</v>
      </c>
      <c r="AA115" s="6">
        <f>IF(Form_Responses1[[#This Row],[rung_nhi]]="Không", 0, 1)</f>
        <v>0</v>
      </c>
      <c r="AB115" s="1" t="s">
        <v>21</v>
      </c>
      <c r="AC115" s="6">
        <v>407</v>
      </c>
      <c r="AD115" s="6">
        <v>0.08</v>
      </c>
      <c r="AE115" s="6">
        <v>28.44</v>
      </c>
      <c r="AF115" s="6">
        <v>71</v>
      </c>
      <c r="AG115" s="6">
        <v>244</v>
      </c>
      <c r="AH115" s="6">
        <v>140</v>
      </c>
      <c r="AI115" s="6">
        <v>3.2</v>
      </c>
      <c r="AJ115" s="6">
        <v>7.5</v>
      </c>
      <c r="AK115" s="6">
        <v>0.85</v>
      </c>
      <c r="AL115" s="1" t="s">
        <v>21</v>
      </c>
      <c r="AM115" s="1">
        <v>14178.85</v>
      </c>
      <c r="AN115" s="6">
        <f>IF(Form_Responses1[[#This Row],[NT_proBNP &gt; 35000]]="Có", 35001, Form_Responses1[[#This Row],[NT_ProBNP]])</f>
        <v>14178.85</v>
      </c>
      <c r="AO115" s="6">
        <f>IF(Form_Responses1[[#This Row],[NT_proBNP &gt; 35000]]="Có", 1, 0)</f>
        <v>0</v>
      </c>
      <c r="AP115" s="6">
        <v>320.77</v>
      </c>
      <c r="AQ115" s="6">
        <v>48</v>
      </c>
      <c r="AR115" s="6">
        <v>29</v>
      </c>
      <c r="AS115" s="6">
        <v>150</v>
      </c>
      <c r="AT115" s="6">
        <v>35</v>
      </c>
      <c r="AU115" s="6">
        <v>42</v>
      </c>
      <c r="AV115" s="6">
        <v>50</v>
      </c>
      <c r="AW115" s="6">
        <v>39</v>
      </c>
      <c r="AX115" s="13"/>
      <c r="AY115" s="23">
        <f>IF(Form_Responses1[[#This Row],[ket_cuc]]="Không tử vong", 0, 1)</f>
        <v>0</v>
      </c>
      <c r="AZ115" s="1" t="s">
        <v>24</v>
      </c>
      <c r="BA115" s="32">
        <v>39</v>
      </c>
      <c r="BB115" s="32">
        <v>0.14043279085213231</v>
      </c>
    </row>
    <row r="116" spans="1:54" ht="13" x14ac:dyDescent="0.15">
      <c r="A116" s="2" t="s">
        <v>204</v>
      </c>
      <c r="B116" s="15">
        <v>67</v>
      </c>
      <c r="C116" s="15">
        <f>IF(Form_Responses1[[#This Row],[gioi_tinh]]="Nữ", 0, 1)</f>
        <v>0</v>
      </c>
      <c r="D116" s="2" t="s">
        <v>20</v>
      </c>
      <c r="E116" s="15">
        <v>19.5</v>
      </c>
      <c r="F116" s="15">
        <f>IF(Form_Responses1[[#This Row],[dai_thao_duong]]="Không", 0, 1)</f>
        <v>0</v>
      </c>
      <c r="G116" s="2" t="s">
        <v>21</v>
      </c>
      <c r="H116" s="15">
        <f t="shared" si="2"/>
        <v>0</v>
      </c>
      <c r="I116" s="2" t="s">
        <v>21</v>
      </c>
      <c r="J116" s="15">
        <f>IF(Form_Responses1[[#This Row],[hoi_chung_vanh_man]]="Không", 0, 1)</f>
        <v>0</v>
      </c>
      <c r="K116" s="2" t="s">
        <v>21</v>
      </c>
      <c r="L116" s="15">
        <f>IF(Form_Responses1[[#This Row],[ckd]]="Không", 0, 1)</f>
        <v>0</v>
      </c>
      <c r="M116" s="2" t="s">
        <v>21</v>
      </c>
      <c r="N116" s="15">
        <f t="shared" si="3"/>
        <v>0</v>
      </c>
      <c r="O116" s="2" t="s">
        <v>21</v>
      </c>
      <c r="P116" s="15">
        <f>IF(Form_Responses1[[#This Row],[phan_loai_the_lam_sang]]="Suy tim mất bù cấp", 1,0)</f>
        <v>1</v>
      </c>
      <c r="Q116" s="15">
        <f>IF(Form_Responses1[[#This Row],[phan_loai_the_lam_sang]]="Phù phổi cấp", 1, 0)</f>
        <v>0</v>
      </c>
      <c r="R116" s="15">
        <f>IF(Form_Responses1[[#This Row],[phan_loai_the_lam_sang]]="Choáng tim", 1, 0)</f>
        <v>0</v>
      </c>
      <c r="S116" s="2" t="s">
        <v>23</v>
      </c>
      <c r="T116" s="15">
        <v>150</v>
      </c>
      <c r="U116" s="15">
        <v>160</v>
      </c>
      <c r="V116" s="15">
        <v>100</v>
      </c>
      <c r="W116" s="15">
        <f>IF(Form_Responses1[[#This Row],[hcvc]]="Không", 0, 1)</f>
        <v>0</v>
      </c>
      <c r="X116" s="2" t="s">
        <v>21</v>
      </c>
      <c r="Y116" s="15">
        <f>IF(Form_Responses1[[#This Row],[suy_ho_hap]]="Không", 0, 1)</f>
        <v>0</v>
      </c>
      <c r="Z116" s="2" t="s">
        <v>21</v>
      </c>
      <c r="AA116" s="15">
        <f>IF(Form_Responses1[[#This Row],[rung_nhi]]="Không", 0, 1)</f>
        <v>1</v>
      </c>
      <c r="AB116" s="2" t="s">
        <v>22</v>
      </c>
      <c r="AC116" s="15">
        <v>375</v>
      </c>
      <c r="AD116" s="15">
        <v>0.08</v>
      </c>
      <c r="AE116" s="15">
        <v>21.3</v>
      </c>
      <c r="AF116" s="15">
        <v>110</v>
      </c>
      <c r="AG116" s="15">
        <v>255</v>
      </c>
      <c r="AH116" s="15">
        <v>126</v>
      </c>
      <c r="AI116" s="15">
        <v>3.1</v>
      </c>
      <c r="AJ116" s="15">
        <v>7</v>
      </c>
      <c r="AK116" s="15">
        <v>0.38</v>
      </c>
      <c r="AL116" s="2" t="s">
        <v>21</v>
      </c>
      <c r="AM116" s="2">
        <v>3764</v>
      </c>
      <c r="AN116" s="6">
        <f>IF(Form_Responses1[[#This Row],[NT_proBNP &gt; 35000]]="Có", 35001, Form_Responses1[[#This Row],[NT_ProBNP]])</f>
        <v>3764</v>
      </c>
      <c r="AO116" s="15">
        <f>IF(Form_Responses1[[#This Row],[NT_proBNP &gt; 35000]]="Có", 1, 0)</f>
        <v>0</v>
      </c>
      <c r="AP116" s="15">
        <v>28.61</v>
      </c>
      <c r="AQ116" s="15">
        <v>20</v>
      </c>
      <c r="AR116" s="15">
        <v>11</v>
      </c>
      <c r="AS116" s="15">
        <v>192</v>
      </c>
      <c r="AT116" s="18"/>
      <c r="AU116" s="15">
        <v>44.8</v>
      </c>
      <c r="AV116" s="15">
        <v>55.2</v>
      </c>
      <c r="AW116" s="15">
        <v>38</v>
      </c>
      <c r="AX116" s="15">
        <v>64</v>
      </c>
      <c r="AY116" s="22">
        <f>IF(Form_Responses1[[#This Row],[ket_cuc]]="Không tử vong", 0, 1)</f>
        <v>0</v>
      </c>
      <c r="AZ116" s="2" t="s">
        <v>24</v>
      </c>
      <c r="BA116" s="32">
        <v>37</v>
      </c>
      <c r="BB116" s="32">
        <v>6.9331744984361343E-2</v>
      </c>
    </row>
    <row r="117" spans="1:54" ht="13" x14ac:dyDescent="0.15">
      <c r="A117" s="1" t="s">
        <v>237</v>
      </c>
      <c r="B117" s="6">
        <v>62</v>
      </c>
      <c r="C117" s="6">
        <f>IF(Form_Responses1[[#This Row],[gioi_tinh]]="Nữ", 0, 1)</f>
        <v>1</v>
      </c>
      <c r="D117" s="1" t="s">
        <v>26</v>
      </c>
      <c r="E117" s="6">
        <v>19.2</v>
      </c>
      <c r="F117" s="6">
        <f>IF(Form_Responses1[[#This Row],[dai_thao_duong]]="Không", 0, 1)</f>
        <v>0</v>
      </c>
      <c r="G117" s="1" t="s">
        <v>21</v>
      </c>
      <c r="H117" s="6">
        <f t="shared" si="2"/>
        <v>1</v>
      </c>
      <c r="I117" s="1" t="s">
        <v>22</v>
      </c>
      <c r="J117" s="6">
        <f>IF(Form_Responses1[[#This Row],[hoi_chung_vanh_man]]="Không", 0, 1)</f>
        <v>0</v>
      </c>
      <c r="K117" s="1" t="s">
        <v>21</v>
      </c>
      <c r="L117" s="6">
        <f>IF(Form_Responses1[[#This Row],[ckd]]="Không", 0, 1)</f>
        <v>1</v>
      </c>
      <c r="M117" s="1" t="s">
        <v>22</v>
      </c>
      <c r="N117" s="6">
        <f t="shared" si="3"/>
        <v>0</v>
      </c>
      <c r="O117" s="1" t="s">
        <v>21</v>
      </c>
      <c r="P117" s="6">
        <f>IF(Form_Responses1[[#This Row],[phan_loai_the_lam_sang]]="Suy tim mất bù cấp", 1,0)</f>
        <v>1</v>
      </c>
      <c r="Q117" s="6">
        <f>IF(Form_Responses1[[#This Row],[phan_loai_the_lam_sang]]="Phù phổi cấp", 1, 0)</f>
        <v>0</v>
      </c>
      <c r="R117" s="6">
        <f>IF(Form_Responses1[[#This Row],[phan_loai_the_lam_sang]]="Choáng tim", 1, 0)</f>
        <v>0</v>
      </c>
      <c r="S117" s="1" t="s">
        <v>23</v>
      </c>
      <c r="T117" s="6">
        <v>67</v>
      </c>
      <c r="U117" s="6">
        <v>160</v>
      </c>
      <c r="V117" s="6">
        <v>80</v>
      </c>
      <c r="W117" s="6">
        <f>IF(Form_Responses1[[#This Row],[hcvc]]="Không", 0, 1)</f>
        <v>0</v>
      </c>
      <c r="X117" s="1" t="s">
        <v>21</v>
      </c>
      <c r="Y117" s="6">
        <f>IF(Form_Responses1[[#This Row],[suy_ho_hap]]="Không", 0, 1)</f>
        <v>1</v>
      </c>
      <c r="Z117" s="1" t="s">
        <v>22</v>
      </c>
      <c r="AA117" s="6">
        <f>IF(Form_Responses1[[#This Row],[rung_nhi]]="Không", 0, 1)</f>
        <v>0</v>
      </c>
      <c r="AB117" s="1" t="s">
        <v>21</v>
      </c>
      <c r="AC117" s="6">
        <v>448</v>
      </c>
      <c r="AD117" s="6">
        <v>0.08</v>
      </c>
      <c r="AE117" s="6">
        <v>5.04</v>
      </c>
      <c r="AF117" s="6">
        <v>95</v>
      </c>
      <c r="AG117" s="6">
        <v>241</v>
      </c>
      <c r="AH117" s="6">
        <v>134</v>
      </c>
      <c r="AI117" s="6">
        <v>4.3</v>
      </c>
      <c r="AJ117" s="6">
        <v>56</v>
      </c>
      <c r="AK117" s="6">
        <v>6.54</v>
      </c>
      <c r="AL117" s="1" t="s">
        <v>22</v>
      </c>
      <c r="AM117" s="10"/>
      <c r="AN117" s="6">
        <f>IF(Form_Responses1[[#This Row],[NT_proBNP &gt; 35000]]="Có", 35001, Form_Responses1[[#This Row],[NT_ProBNP]])</f>
        <v>35001</v>
      </c>
      <c r="AO117" s="13">
        <f>IF(Form_Responses1[[#This Row],[NT_proBNP &gt; 35000]]="Có", 1, 0)</f>
        <v>1</v>
      </c>
      <c r="AP117" s="6">
        <v>218.5</v>
      </c>
      <c r="AQ117" s="6">
        <v>15</v>
      </c>
      <c r="AR117" s="6">
        <v>19</v>
      </c>
      <c r="AS117" s="6">
        <v>75</v>
      </c>
      <c r="AT117" s="13"/>
      <c r="AU117" s="6">
        <v>42.8</v>
      </c>
      <c r="AV117" s="6">
        <v>54.1</v>
      </c>
      <c r="AW117" s="6">
        <v>38</v>
      </c>
      <c r="AY117" s="25">
        <f>IF(Form_Responses1[[#This Row],[ket_cuc]]="Không tử vong", 0, 1)</f>
        <v>0</v>
      </c>
      <c r="AZ117" s="1" t="s">
        <v>24</v>
      </c>
      <c r="BA117" s="32">
        <v>36</v>
      </c>
      <c r="BB117" s="32">
        <v>8.2754254353559306E-2</v>
      </c>
    </row>
    <row r="118" spans="1:54" ht="13" x14ac:dyDescent="0.15">
      <c r="A118" s="2" t="s">
        <v>278</v>
      </c>
      <c r="B118" s="15">
        <v>55</v>
      </c>
      <c r="C118" s="15">
        <f>IF(Form_Responses1[[#This Row],[gioi_tinh]]="Nữ", 0, 1)</f>
        <v>1</v>
      </c>
      <c r="D118" s="2" t="s">
        <v>26</v>
      </c>
      <c r="E118" s="15">
        <v>22.6</v>
      </c>
      <c r="F118" s="15">
        <f>IF(Form_Responses1[[#This Row],[dai_thao_duong]]="Không", 0, 1)</f>
        <v>1</v>
      </c>
      <c r="G118" s="2" t="s">
        <v>22</v>
      </c>
      <c r="H118" s="15">
        <f t="shared" si="2"/>
        <v>1</v>
      </c>
      <c r="I118" s="2" t="s">
        <v>22</v>
      </c>
      <c r="J118" s="15">
        <f>IF(Form_Responses1[[#This Row],[hoi_chung_vanh_man]]="Không", 0, 1)</f>
        <v>0</v>
      </c>
      <c r="K118" s="2" t="s">
        <v>21</v>
      </c>
      <c r="L118" s="15">
        <f>IF(Form_Responses1[[#This Row],[ckd]]="Không", 0, 1)</f>
        <v>0</v>
      </c>
      <c r="M118" s="2" t="s">
        <v>21</v>
      </c>
      <c r="N118" s="15">
        <f t="shared" si="3"/>
        <v>0</v>
      </c>
      <c r="O118" s="2" t="s">
        <v>21</v>
      </c>
      <c r="P118" s="15">
        <f>IF(Form_Responses1[[#This Row],[phan_loai_the_lam_sang]]="Suy tim mất bù cấp", 1,0)</f>
        <v>1</v>
      </c>
      <c r="Q118" s="15">
        <f>IF(Form_Responses1[[#This Row],[phan_loai_the_lam_sang]]="Phù phổi cấp", 1, 0)</f>
        <v>0</v>
      </c>
      <c r="R118" s="15">
        <f>IF(Form_Responses1[[#This Row],[phan_loai_the_lam_sang]]="Choáng tim", 1, 0)</f>
        <v>0</v>
      </c>
      <c r="S118" s="2" t="s">
        <v>23</v>
      </c>
      <c r="T118" s="15">
        <v>95</v>
      </c>
      <c r="U118" s="15">
        <v>130</v>
      </c>
      <c r="V118" s="15">
        <v>80</v>
      </c>
      <c r="W118" s="15">
        <f>IF(Form_Responses1[[#This Row],[hcvc]]="Không", 0, 1)</f>
        <v>1</v>
      </c>
      <c r="X118" s="2" t="s">
        <v>22</v>
      </c>
      <c r="Y118" s="15">
        <f>IF(Form_Responses1[[#This Row],[suy_ho_hap]]="Không", 0, 1)</f>
        <v>0</v>
      </c>
      <c r="Z118" s="2" t="s">
        <v>21</v>
      </c>
      <c r="AA118" s="15">
        <f>IF(Form_Responses1[[#This Row],[rung_nhi]]="Không", 0, 1)</f>
        <v>0</v>
      </c>
      <c r="AB118" s="2" t="s">
        <v>21</v>
      </c>
      <c r="AC118" s="15">
        <v>463</v>
      </c>
      <c r="AD118" s="15">
        <v>0.11</v>
      </c>
      <c r="AE118" s="15">
        <v>6.41</v>
      </c>
      <c r="AF118" s="15">
        <v>112</v>
      </c>
      <c r="AG118" s="15">
        <v>265</v>
      </c>
      <c r="AH118" s="15">
        <v>135</v>
      </c>
      <c r="AI118" s="15">
        <v>3.2</v>
      </c>
      <c r="AJ118" s="15">
        <v>44</v>
      </c>
      <c r="AK118" s="15">
        <v>2.9</v>
      </c>
      <c r="AL118" s="2" t="s">
        <v>21</v>
      </c>
      <c r="AM118" s="2">
        <v>28435.21</v>
      </c>
      <c r="AN118" s="6">
        <f>IF(Form_Responses1[[#This Row],[NT_proBNP &gt; 35000]]="Có", 35001, Form_Responses1[[#This Row],[NT_ProBNP]])</f>
        <v>28435.21</v>
      </c>
      <c r="AO118" s="15">
        <f>IF(Form_Responses1[[#This Row],[NT_proBNP &gt; 35000]]="Có", 1, 0)</f>
        <v>0</v>
      </c>
      <c r="AP118" s="15">
        <v>1110.46</v>
      </c>
      <c r="AQ118" s="15">
        <v>24</v>
      </c>
      <c r="AR118" s="15">
        <v>25</v>
      </c>
      <c r="AS118" s="15">
        <v>389</v>
      </c>
      <c r="AT118" s="15">
        <v>35</v>
      </c>
      <c r="AU118" s="15">
        <v>49</v>
      </c>
      <c r="AV118" s="15">
        <v>61</v>
      </c>
      <c r="AW118" s="15">
        <v>38</v>
      </c>
      <c r="AX118" s="18"/>
      <c r="AY118" s="26">
        <f>IF(Form_Responses1[[#This Row],[ket_cuc]]="Không tử vong", 0, 1)</f>
        <v>0</v>
      </c>
      <c r="AZ118" s="2" t="s">
        <v>24</v>
      </c>
      <c r="BA118" s="32">
        <v>42</v>
      </c>
      <c r="BB118" s="32">
        <v>7.6230565952807403E-2</v>
      </c>
    </row>
    <row r="119" spans="1:54" ht="13" x14ac:dyDescent="0.15">
      <c r="A119" s="1" t="s">
        <v>341</v>
      </c>
      <c r="B119" s="6">
        <v>54</v>
      </c>
      <c r="C119" s="6">
        <f>IF(Form_Responses1[[#This Row],[gioi_tinh]]="Nữ", 0, 1)</f>
        <v>1</v>
      </c>
      <c r="D119" s="1" t="s">
        <v>26</v>
      </c>
      <c r="E119" s="6">
        <v>25.4</v>
      </c>
      <c r="F119" s="6">
        <f>IF(Form_Responses1[[#This Row],[dai_thao_duong]]="Không", 0, 1)</f>
        <v>1</v>
      </c>
      <c r="G119" s="1" t="s">
        <v>22</v>
      </c>
      <c r="H119" s="6">
        <f t="shared" si="2"/>
        <v>1</v>
      </c>
      <c r="I119" s="1" t="s">
        <v>22</v>
      </c>
      <c r="J119" s="6">
        <f>IF(Form_Responses1[[#This Row],[hoi_chung_vanh_man]]="Không", 0, 1)</f>
        <v>0</v>
      </c>
      <c r="K119" s="1" t="s">
        <v>21</v>
      </c>
      <c r="L119" s="6">
        <f>IF(Form_Responses1[[#This Row],[ckd]]="Không", 0, 1)</f>
        <v>0</v>
      </c>
      <c r="M119" s="1" t="s">
        <v>21</v>
      </c>
      <c r="N119" s="6">
        <f t="shared" si="3"/>
        <v>0</v>
      </c>
      <c r="O119" s="1" t="s">
        <v>21</v>
      </c>
      <c r="P119" s="6">
        <f>IF(Form_Responses1[[#This Row],[phan_loai_the_lam_sang]]="Suy tim mất bù cấp", 1,0)</f>
        <v>0</v>
      </c>
      <c r="Q119" s="6">
        <f>IF(Form_Responses1[[#This Row],[phan_loai_the_lam_sang]]="Phù phổi cấp", 1, 0)</f>
        <v>1</v>
      </c>
      <c r="R119" s="6">
        <f>IF(Form_Responses1[[#This Row],[phan_loai_the_lam_sang]]="Choáng tim", 1, 0)</f>
        <v>0</v>
      </c>
      <c r="S119" s="1" t="s">
        <v>45</v>
      </c>
      <c r="T119" s="6">
        <v>110</v>
      </c>
      <c r="U119" s="6">
        <v>140</v>
      </c>
      <c r="V119" s="6">
        <v>90</v>
      </c>
      <c r="W119" s="6">
        <f>IF(Form_Responses1[[#This Row],[hcvc]]="Không", 0, 1)</f>
        <v>1</v>
      </c>
      <c r="X119" s="1" t="s">
        <v>22</v>
      </c>
      <c r="Y119" s="6">
        <f>IF(Form_Responses1[[#This Row],[suy_ho_hap]]="Không", 0, 1)</f>
        <v>1</v>
      </c>
      <c r="Z119" s="1" t="s">
        <v>22</v>
      </c>
      <c r="AA119" s="6">
        <f>IF(Form_Responses1[[#This Row],[rung_nhi]]="Không", 0, 1)</f>
        <v>0</v>
      </c>
      <c r="AB119" s="1" t="s">
        <v>21</v>
      </c>
      <c r="AC119" s="6">
        <v>481</v>
      </c>
      <c r="AD119" s="6">
        <v>0.1</v>
      </c>
      <c r="AE119" s="6">
        <v>8.49</v>
      </c>
      <c r="AF119" s="6">
        <v>121</v>
      </c>
      <c r="AG119" s="6">
        <v>337</v>
      </c>
      <c r="AH119" s="6">
        <v>131</v>
      </c>
      <c r="AI119" s="6">
        <v>3.9</v>
      </c>
      <c r="AJ119" s="6">
        <v>10.3</v>
      </c>
      <c r="AK119" s="6">
        <v>1.05</v>
      </c>
      <c r="AL119" s="1" t="s">
        <v>21</v>
      </c>
      <c r="AM119" s="1">
        <v>7464.7</v>
      </c>
      <c r="AN119" s="6">
        <f>IF(Form_Responses1[[#This Row],[NT_proBNP &gt; 35000]]="Có", 35001, Form_Responses1[[#This Row],[NT_ProBNP]])</f>
        <v>7464.7</v>
      </c>
      <c r="AO119" s="6">
        <f>IF(Form_Responses1[[#This Row],[NT_proBNP &gt; 35000]]="Có", 1, 0)</f>
        <v>0</v>
      </c>
      <c r="AP119" s="6">
        <v>9229.68</v>
      </c>
      <c r="AQ119" s="6">
        <v>37</v>
      </c>
      <c r="AR119" s="6">
        <v>50</v>
      </c>
      <c r="AS119" s="6">
        <v>366</v>
      </c>
      <c r="AT119" s="6">
        <v>48</v>
      </c>
      <c r="AU119" s="6">
        <v>51.5</v>
      </c>
      <c r="AV119" s="6">
        <v>61</v>
      </c>
      <c r="AW119" s="6">
        <v>38</v>
      </c>
      <c r="AX119" s="6">
        <v>67</v>
      </c>
      <c r="AY119" s="24">
        <f>IF(Form_Responses1[[#This Row],[ket_cuc]]="Không tử vong", 0, 1)</f>
        <v>0</v>
      </c>
      <c r="AZ119" s="1" t="s">
        <v>24</v>
      </c>
      <c r="BA119" s="32">
        <v>38</v>
      </c>
      <c r="BB119" s="32">
        <v>3.7926528273682744E-2</v>
      </c>
    </row>
    <row r="120" spans="1:54" ht="13" x14ac:dyDescent="0.15">
      <c r="A120" s="1" t="s">
        <v>305</v>
      </c>
      <c r="B120" s="6">
        <v>73</v>
      </c>
      <c r="C120" s="6">
        <f>IF(Form_Responses1[[#This Row],[gioi_tinh]]="Nữ", 0, 1)</f>
        <v>0</v>
      </c>
      <c r="D120" s="1" t="s">
        <v>20</v>
      </c>
      <c r="E120" s="6">
        <v>16.600000000000001</v>
      </c>
      <c r="F120" s="6">
        <f>IF(Form_Responses1[[#This Row],[dai_thao_duong]]="Không", 0, 1)</f>
        <v>0</v>
      </c>
      <c r="G120" s="1" t="s">
        <v>21</v>
      </c>
      <c r="H120" s="6">
        <f t="shared" si="2"/>
        <v>1</v>
      </c>
      <c r="I120" s="1" t="s">
        <v>22</v>
      </c>
      <c r="J120" s="6">
        <f>IF(Form_Responses1[[#This Row],[hoi_chung_vanh_man]]="Không", 0, 1)</f>
        <v>1</v>
      </c>
      <c r="K120" s="1" t="s">
        <v>22</v>
      </c>
      <c r="L120" s="6">
        <f>IF(Form_Responses1[[#This Row],[ckd]]="Không", 0, 1)</f>
        <v>0</v>
      </c>
      <c r="M120" s="1" t="s">
        <v>21</v>
      </c>
      <c r="N120" s="6">
        <f t="shared" si="3"/>
        <v>0</v>
      </c>
      <c r="O120" s="1" t="s">
        <v>21</v>
      </c>
      <c r="P120" s="6">
        <f>IF(Form_Responses1[[#This Row],[phan_loai_the_lam_sang]]="Suy tim mất bù cấp", 1,0)</f>
        <v>0</v>
      </c>
      <c r="Q120" s="6">
        <f>IF(Form_Responses1[[#This Row],[phan_loai_the_lam_sang]]="Phù phổi cấp", 1, 0)</f>
        <v>0</v>
      </c>
      <c r="R120" s="6">
        <f>IF(Form_Responses1[[#This Row],[phan_loai_the_lam_sang]]="Choáng tim", 1, 0)</f>
        <v>1</v>
      </c>
      <c r="S120" s="1" t="s">
        <v>28</v>
      </c>
      <c r="T120" s="6">
        <v>103</v>
      </c>
      <c r="U120" s="6">
        <v>110</v>
      </c>
      <c r="V120" s="6">
        <v>60</v>
      </c>
      <c r="W120" s="6">
        <f>IF(Form_Responses1[[#This Row],[hcvc]]="Không", 0, 1)</f>
        <v>0</v>
      </c>
      <c r="X120" s="1" t="s">
        <v>21</v>
      </c>
      <c r="Y120" s="6">
        <f>IF(Form_Responses1[[#This Row],[suy_ho_hap]]="Không", 0, 1)</f>
        <v>0</v>
      </c>
      <c r="Z120" s="1" t="s">
        <v>21</v>
      </c>
      <c r="AA120" s="6">
        <f>IF(Form_Responses1[[#This Row],[rung_nhi]]="Không", 0, 1)</f>
        <v>0</v>
      </c>
      <c r="AB120" s="1" t="s">
        <v>21</v>
      </c>
      <c r="AC120" s="6">
        <v>632</v>
      </c>
      <c r="AD120" s="6">
        <v>7.0000000000000007E-2</v>
      </c>
      <c r="AE120" s="6">
        <v>12.36</v>
      </c>
      <c r="AF120" s="6">
        <v>134</v>
      </c>
      <c r="AG120" s="6">
        <v>224</v>
      </c>
      <c r="AH120" s="6">
        <v>138</v>
      </c>
      <c r="AI120" s="6">
        <v>4.0999999999999996</v>
      </c>
      <c r="AJ120" s="6">
        <v>12.1</v>
      </c>
      <c r="AK120" s="6">
        <v>1.68</v>
      </c>
      <c r="AL120" s="1" t="s">
        <v>21</v>
      </c>
      <c r="AM120" s="1">
        <v>20230</v>
      </c>
      <c r="AN120" s="6">
        <f>IF(Form_Responses1[[#This Row],[NT_proBNP &gt; 35000]]="Có", 35001, Form_Responses1[[#This Row],[NT_ProBNP]])</f>
        <v>20230</v>
      </c>
      <c r="AO120" s="6">
        <f>IF(Form_Responses1[[#This Row],[NT_proBNP &gt; 35000]]="Có", 1, 0)</f>
        <v>0</v>
      </c>
      <c r="AP120" s="6">
        <v>60.81</v>
      </c>
      <c r="AQ120" s="6">
        <v>95</v>
      </c>
      <c r="AR120" s="6">
        <v>37</v>
      </c>
      <c r="AS120" s="6">
        <v>168</v>
      </c>
      <c r="AT120" s="27">
        <v>48</v>
      </c>
      <c r="AU120" s="6">
        <v>47.7</v>
      </c>
      <c r="AV120" s="6">
        <v>57</v>
      </c>
      <c r="AW120" s="6">
        <v>38</v>
      </c>
      <c r="AX120" s="6">
        <v>52</v>
      </c>
      <c r="AY120" s="24">
        <f>IF(Form_Responses1[[#This Row],[ket_cuc]]="Không tử vong", 0, 1)</f>
        <v>0</v>
      </c>
      <c r="AZ120" s="1" t="s">
        <v>24</v>
      </c>
      <c r="BA120" s="32">
        <v>46</v>
      </c>
      <c r="BB120" s="32">
        <v>0.10305053719076485</v>
      </c>
    </row>
    <row r="121" spans="1:54" ht="13" x14ac:dyDescent="0.15">
      <c r="A121" s="2" t="s">
        <v>191</v>
      </c>
      <c r="B121" s="15">
        <v>46</v>
      </c>
      <c r="C121" s="15">
        <f>IF(Form_Responses1[[#This Row],[gioi_tinh]]="Nữ", 0, 1)</f>
        <v>1</v>
      </c>
      <c r="D121" s="2" t="s">
        <v>26</v>
      </c>
      <c r="E121" s="15">
        <v>21.5</v>
      </c>
      <c r="F121" s="15">
        <f>IF(Form_Responses1[[#This Row],[dai_thao_duong]]="Không", 0, 1)</f>
        <v>0</v>
      </c>
      <c r="G121" s="2" t="s">
        <v>21</v>
      </c>
      <c r="H121" s="15">
        <f t="shared" si="2"/>
        <v>0</v>
      </c>
      <c r="I121" s="2" t="s">
        <v>21</v>
      </c>
      <c r="J121" s="15">
        <f>IF(Form_Responses1[[#This Row],[hoi_chung_vanh_man]]="Không", 0, 1)</f>
        <v>0</v>
      </c>
      <c r="K121" s="2" t="s">
        <v>21</v>
      </c>
      <c r="L121" s="15">
        <f>IF(Form_Responses1[[#This Row],[ckd]]="Không", 0, 1)</f>
        <v>0</v>
      </c>
      <c r="M121" s="2" t="s">
        <v>21</v>
      </c>
      <c r="N121" s="15">
        <f t="shared" si="3"/>
        <v>0</v>
      </c>
      <c r="O121" s="2" t="s">
        <v>21</v>
      </c>
      <c r="P121" s="15">
        <f>IF(Form_Responses1[[#This Row],[phan_loai_the_lam_sang]]="Suy tim mất bù cấp", 1,0)</f>
        <v>0</v>
      </c>
      <c r="Q121" s="15">
        <f>IF(Form_Responses1[[#This Row],[phan_loai_the_lam_sang]]="Phù phổi cấp", 1, 0)</f>
        <v>0</v>
      </c>
      <c r="R121" s="15">
        <f>IF(Form_Responses1[[#This Row],[phan_loai_the_lam_sang]]="Choáng tim", 1, 0)</f>
        <v>1</v>
      </c>
      <c r="S121" s="2" t="s">
        <v>28</v>
      </c>
      <c r="T121" s="15">
        <v>153</v>
      </c>
      <c r="U121" s="15">
        <v>60</v>
      </c>
      <c r="V121" s="15">
        <v>40</v>
      </c>
      <c r="W121" s="15">
        <f>IF(Form_Responses1[[#This Row],[hcvc]]="Không", 0, 1)</f>
        <v>0</v>
      </c>
      <c r="X121" s="2" t="s">
        <v>21</v>
      </c>
      <c r="Y121" s="15">
        <f>IF(Form_Responses1[[#This Row],[suy_ho_hap]]="Không", 0, 1)</f>
        <v>1</v>
      </c>
      <c r="Z121" s="2" t="s">
        <v>22</v>
      </c>
      <c r="AA121" s="15">
        <f>IF(Form_Responses1[[#This Row],[rung_nhi]]="Không", 0, 1)</f>
        <v>1</v>
      </c>
      <c r="AB121" s="2" t="s">
        <v>22</v>
      </c>
      <c r="AC121" s="15">
        <v>380</v>
      </c>
      <c r="AD121" s="15">
        <v>0.08</v>
      </c>
      <c r="AE121" s="15">
        <v>13.24</v>
      </c>
      <c r="AF121" s="15">
        <v>138</v>
      </c>
      <c r="AG121" s="15">
        <v>173</v>
      </c>
      <c r="AH121" s="15">
        <v>134</v>
      </c>
      <c r="AI121" s="15">
        <v>5.8</v>
      </c>
      <c r="AJ121" s="15">
        <v>30</v>
      </c>
      <c r="AK121" s="15">
        <v>1.5</v>
      </c>
      <c r="AL121" s="2" t="s">
        <v>22</v>
      </c>
      <c r="AM121" s="12"/>
      <c r="AN121" s="6">
        <f>IF(Form_Responses1[[#This Row],[NT_proBNP &gt; 35000]]="Có", 35001, Form_Responses1[[#This Row],[NT_ProBNP]])</f>
        <v>35001</v>
      </c>
      <c r="AO121" s="5">
        <f>IF(Form_Responses1[[#This Row],[NT_proBNP &gt; 35000]]="Có", 1, 0)</f>
        <v>1</v>
      </c>
      <c r="AP121" s="27">
        <v>1506.26</v>
      </c>
      <c r="AQ121" s="15">
        <v>362</v>
      </c>
      <c r="AR121" s="15">
        <v>406</v>
      </c>
      <c r="AS121" s="15">
        <v>98</v>
      </c>
      <c r="AT121" s="15">
        <v>44.2</v>
      </c>
      <c r="AU121" s="15">
        <v>44.2</v>
      </c>
      <c r="AV121" s="15">
        <v>52.7</v>
      </c>
      <c r="AW121" s="15">
        <v>38</v>
      </c>
      <c r="AY121" s="25">
        <f>IF(Form_Responses1[[#This Row],[ket_cuc]]="Không tử vong", 0, 1)</f>
        <v>0</v>
      </c>
      <c r="AZ121" s="2" t="s">
        <v>24</v>
      </c>
      <c r="BA121" s="32">
        <v>53</v>
      </c>
      <c r="BB121" s="32">
        <v>0.17903487655800726</v>
      </c>
    </row>
    <row r="122" spans="1:54" ht="13" x14ac:dyDescent="0.15">
      <c r="A122" s="1" t="s">
        <v>59</v>
      </c>
      <c r="B122" s="6">
        <v>90</v>
      </c>
      <c r="C122" s="6">
        <f>IF(Form_Responses1[[#This Row],[gioi_tinh]]="Nữ", 0, 1)</f>
        <v>1</v>
      </c>
      <c r="D122" s="1" t="s">
        <v>26</v>
      </c>
      <c r="E122" s="6">
        <v>21.5</v>
      </c>
      <c r="F122" s="6">
        <f>IF(Form_Responses1[[#This Row],[dai_thao_duong]]="Không", 0, 1)</f>
        <v>0</v>
      </c>
      <c r="G122" s="1" t="s">
        <v>21</v>
      </c>
      <c r="H122" s="6">
        <f t="shared" si="2"/>
        <v>1</v>
      </c>
      <c r="I122" s="1" t="s">
        <v>22</v>
      </c>
      <c r="J122" s="6">
        <f>IF(Form_Responses1[[#This Row],[hoi_chung_vanh_man]]="Không", 0, 1)</f>
        <v>1</v>
      </c>
      <c r="K122" s="1" t="s">
        <v>22</v>
      </c>
      <c r="L122" s="6">
        <f>IF(Form_Responses1[[#This Row],[ckd]]="Không", 0, 1)</f>
        <v>0</v>
      </c>
      <c r="M122" s="1" t="s">
        <v>21</v>
      </c>
      <c r="N122" s="6">
        <f t="shared" si="3"/>
        <v>0</v>
      </c>
      <c r="O122" s="1" t="s">
        <v>21</v>
      </c>
      <c r="P122" s="6">
        <f>IF(Form_Responses1[[#This Row],[phan_loai_the_lam_sang]]="Suy tim mất bù cấp", 1,0)</f>
        <v>0</v>
      </c>
      <c r="Q122" s="6">
        <f>IF(Form_Responses1[[#This Row],[phan_loai_the_lam_sang]]="Phù phổi cấp", 1, 0)</f>
        <v>1</v>
      </c>
      <c r="R122" s="6">
        <f>IF(Form_Responses1[[#This Row],[phan_loai_the_lam_sang]]="Choáng tim", 1, 0)</f>
        <v>0</v>
      </c>
      <c r="S122" s="1" t="s">
        <v>45</v>
      </c>
      <c r="T122" s="6">
        <v>88</v>
      </c>
      <c r="U122" s="6">
        <v>140</v>
      </c>
      <c r="V122" s="6">
        <v>90</v>
      </c>
      <c r="W122" s="6">
        <f>IF(Form_Responses1[[#This Row],[hcvc]]="Không", 0, 1)</f>
        <v>1</v>
      </c>
      <c r="X122" s="1" t="s">
        <v>22</v>
      </c>
      <c r="Y122" s="6">
        <f>IF(Form_Responses1[[#This Row],[suy_ho_hap]]="Không", 0, 1)</f>
        <v>1</v>
      </c>
      <c r="Z122" s="1" t="s">
        <v>22</v>
      </c>
      <c r="AA122" s="6">
        <f>IF(Form_Responses1[[#This Row],[rung_nhi]]="Không", 0, 1)</f>
        <v>0</v>
      </c>
      <c r="AB122" s="1" t="s">
        <v>21</v>
      </c>
      <c r="AC122" s="6">
        <v>550</v>
      </c>
      <c r="AD122" s="6">
        <v>0.12</v>
      </c>
      <c r="AE122" s="6">
        <v>25.4</v>
      </c>
      <c r="AF122" s="6">
        <v>110</v>
      </c>
      <c r="AG122" s="6">
        <v>449</v>
      </c>
      <c r="AH122" s="6">
        <v>131</v>
      </c>
      <c r="AI122" s="6">
        <v>3.2</v>
      </c>
      <c r="AJ122" s="6">
        <v>19</v>
      </c>
      <c r="AK122" s="6">
        <v>0.75</v>
      </c>
      <c r="AL122" s="1" t="s">
        <v>21</v>
      </c>
      <c r="AM122" s="1">
        <v>14240.05</v>
      </c>
      <c r="AN122" s="6">
        <f>IF(Form_Responses1[[#This Row],[NT_proBNP &gt; 35000]]="Có", 35001, Form_Responses1[[#This Row],[NT_ProBNP]])</f>
        <v>14240.05</v>
      </c>
      <c r="AO122" s="6">
        <f>IF(Form_Responses1[[#This Row],[NT_proBNP &gt; 35000]]="Có", 1, 0)</f>
        <v>0</v>
      </c>
      <c r="AP122" s="6">
        <v>15222.94</v>
      </c>
      <c r="AQ122" s="6">
        <v>63</v>
      </c>
      <c r="AR122" s="6">
        <v>29</v>
      </c>
      <c r="AS122" s="6">
        <v>174</v>
      </c>
      <c r="AT122" s="13"/>
      <c r="AU122" s="6">
        <v>41.4</v>
      </c>
      <c r="AV122" s="6">
        <v>51.4</v>
      </c>
      <c r="AW122" s="6">
        <v>37</v>
      </c>
      <c r="AX122" s="27">
        <v>23</v>
      </c>
      <c r="AY122" s="29">
        <f>IF(Form_Responses1[[#This Row],[ket_cuc]]="Không tử vong", 0, 1)</f>
        <v>0</v>
      </c>
      <c r="AZ122" s="1" t="s">
        <v>24</v>
      </c>
      <c r="BA122" s="32">
        <v>44</v>
      </c>
      <c r="BB122" s="32">
        <v>9.1089838605698553E-2</v>
      </c>
    </row>
    <row r="123" spans="1:54" ht="13" x14ac:dyDescent="0.15">
      <c r="A123" s="2" t="s">
        <v>180</v>
      </c>
      <c r="B123" s="15">
        <v>39</v>
      </c>
      <c r="C123" s="15">
        <f>IF(Form_Responses1[[#This Row],[gioi_tinh]]="Nữ", 0, 1)</f>
        <v>0</v>
      </c>
      <c r="D123" s="2" t="s">
        <v>20</v>
      </c>
      <c r="E123" s="15">
        <v>20.8</v>
      </c>
      <c r="F123" s="15">
        <f>IF(Form_Responses1[[#This Row],[dai_thao_duong]]="Không", 0, 1)</f>
        <v>0</v>
      </c>
      <c r="G123" s="2" t="s">
        <v>21</v>
      </c>
      <c r="H123" s="15">
        <f t="shared" si="2"/>
        <v>0</v>
      </c>
      <c r="I123" s="2" t="s">
        <v>21</v>
      </c>
      <c r="J123" s="15">
        <f>IF(Form_Responses1[[#This Row],[hoi_chung_vanh_man]]="Không", 0, 1)</f>
        <v>0</v>
      </c>
      <c r="K123" s="2" t="s">
        <v>21</v>
      </c>
      <c r="L123" s="15">
        <f>IF(Form_Responses1[[#This Row],[ckd]]="Không", 0, 1)</f>
        <v>0</v>
      </c>
      <c r="M123" s="2" t="s">
        <v>21</v>
      </c>
      <c r="N123" s="15">
        <f t="shared" si="3"/>
        <v>0</v>
      </c>
      <c r="O123" s="2" t="s">
        <v>21</v>
      </c>
      <c r="P123" s="15">
        <f>IF(Form_Responses1[[#This Row],[phan_loai_the_lam_sang]]="Suy tim mất bù cấp", 1,0)</f>
        <v>0</v>
      </c>
      <c r="Q123" s="15">
        <f>IF(Form_Responses1[[#This Row],[phan_loai_the_lam_sang]]="Phù phổi cấp", 1, 0)</f>
        <v>0</v>
      </c>
      <c r="R123" s="15">
        <f>IF(Form_Responses1[[#This Row],[phan_loai_the_lam_sang]]="Choáng tim", 1, 0)</f>
        <v>1</v>
      </c>
      <c r="S123" s="2" t="s">
        <v>28</v>
      </c>
      <c r="T123" s="15">
        <v>110</v>
      </c>
      <c r="U123" s="15">
        <v>100</v>
      </c>
      <c r="V123" s="15">
        <v>70</v>
      </c>
      <c r="W123" s="15">
        <f>IF(Form_Responses1[[#This Row],[hcvc]]="Không", 0, 1)</f>
        <v>0</v>
      </c>
      <c r="X123" s="2" t="s">
        <v>21</v>
      </c>
      <c r="Y123" s="15">
        <f>IF(Form_Responses1[[#This Row],[suy_ho_hap]]="Không", 0, 1)</f>
        <v>0</v>
      </c>
      <c r="Z123" s="2" t="s">
        <v>21</v>
      </c>
      <c r="AA123" s="15">
        <f>IF(Form_Responses1[[#This Row],[rung_nhi]]="Không", 0, 1)</f>
        <v>0</v>
      </c>
      <c r="AB123" s="2" t="s">
        <v>21</v>
      </c>
      <c r="AC123" s="15">
        <v>374</v>
      </c>
      <c r="AD123" s="15">
        <v>7.0000000000000007E-2</v>
      </c>
      <c r="AE123" s="15">
        <v>11.14</v>
      </c>
      <c r="AF123" s="15">
        <v>114</v>
      </c>
      <c r="AG123" s="15">
        <v>250</v>
      </c>
      <c r="AH123" s="15">
        <v>132</v>
      </c>
      <c r="AI123" s="15">
        <v>3.8</v>
      </c>
      <c r="AJ123" s="15">
        <v>5.0999999999999996</v>
      </c>
      <c r="AK123" s="15">
        <v>0.8</v>
      </c>
      <c r="AL123" s="2" t="s">
        <v>21</v>
      </c>
      <c r="AM123" s="28">
        <v>8232.7999999999993</v>
      </c>
      <c r="AN123" s="6">
        <f>IF(Form_Responses1[[#This Row],[NT_proBNP &gt; 35000]]="Có", 35001, Form_Responses1[[#This Row],[NT_ProBNP]])</f>
        <v>8232.7999999999993</v>
      </c>
      <c r="AO123" s="27">
        <f>IF(Form_Responses1[[#This Row],[NT_proBNP &gt; 35000]]="Có", 1, 0)</f>
        <v>0</v>
      </c>
      <c r="AP123" s="15">
        <v>8346.7000000000007</v>
      </c>
      <c r="AQ123" s="15">
        <v>136</v>
      </c>
      <c r="AR123" s="15">
        <v>106</v>
      </c>
      <c r="AS123" s="15">
        <v>176</v>
      </c>
      <c r="AU123" s="15">
        <v>39.9</v>
      </c>
      <c r="AV123" s="15">
        <v>46.5</v>
      </c>
      <c r="AW123" s="15">
        <v>37</v>
      </c>
      <c r="AY123" s="25">
        <f>IF(Form_Responses1[[#This Row],[ket_cuc]]="Không tử vong", 0, 1)</f>
        <v>0</v>
      </c>
      <c r="AZ123" s="2" t="s">
        <v>24</v>
      </c>
      <c r="BA123" s="32">
        <v>39</v>
      </c>
      <c r="BB123" s="32">
        <v>3.255649948871385E-2</v>
      </c>
    </row>
    <row r="124" spans="1:54" ht="13" x14ac:dyDescent="0.15">
      <c r="A124" s="1" t="s">
        <v>105</v>
      </c>
      <c r="B124" s="6">
        <v>63</v>
      </c>
      <c r="C124" s="6">
        <f>IF(Form_Responses1[[#This Row],[gioi_tinh]]="Nữ", 0, 1)</f>
        <v>1</v>
      </c>
      <c r="D124" s="1" t="s">
        <v>26</v>
      </c>
      <c r="E124" s="6">
        <v>25.1</v>
      </c>
      <c r="F124" s="6">
        <f>IF(Form_Responses1[[#This Row],[dai_thao_duong]]="Không", 0, 1)</f>
        <v>0</v>
      </c>
      <c r="G124" s="1" t="s">
        <v>21</v>
      </c>
      <c r="H124" s="6">
        <f t="shared" si="2"/>
        <v>1</v>
      </c>
      <c r="I124" s="1" t="s">
        <v>22</v>
      </c>
      <c r="J124" s="6">
        <f>IF(Form_Responses1[[#This Row],[hoi_chung_vanh_man]]="Không", 0, 1)</f>
        <v>0</v>
      </c>
      <c r="K124" s="1" t="s">
        <v>21</v>
      </c>
      <c r="L124" s="6">
        <f>IF(Form_Responses1[[#This Row],[ckd]]="Không", 0, 1)</f>
        <v>0</v>
      </c>
      <c r="M124" s="1" t="s">
        <v>21</v>
      </c>
      <c r="N124" s="6">
        <f t="shared" si="3"/>
        <v>0</v>
      </c>
      <c r="O124" s="1" t="s">
        <v>21</v>
      </c>
      <c r="P124" s="6">
        <f>IF(Form_Responses1[[#This Row],[phan_loai_the_lam_sang]]="Suy tim mất bù cấp", 1,0)</f>
        <v>0</v>
      </c>
      <c r="Q124" s="6">
        <f>IF(Form_Responses1[[#This Row],[phan_loai_the_lam_sang]]="Phù phổi cấp", 1, 0)</f>
        <v>0</v>
      </c>
      <c r="R124" s="6">
        <f>IF(Form_Responses1[[#This Row],[phan_loai_the_lam_sang]]="Choáng tim", 1, 0)</f>
        <v>1</v>
      </c>
      <c r="S124" s="1" t="s">
        <v>28</v>
      </c>
      <c r="T124" s="6">
        <v>121</v>
      </c>
      <c r="U124" s="6">
        <v>100</v>
      </c>
      <c r="V124" s="6">
        <v>60</v>
      </c>
      <c r="W124" s="6">
        <f>IF(Form_Responses1[[#This Row],[hcvc]]="Không", 0, 1)</f>
        <v>1</v>
      </c>
      <c r="X124" s="1" t="s">
        <v>22</v>
      </c>
      <c r="Y124" s="6">
        <f>IF(Form_Responses1[[#This Row],[suy_ho_hap]]="Không", 0, 1)</f>
        <v>1</v>
      </c>
      <c r="Z124" s="1" t="s">
        <v>22</v>
      </c>
      <c r="AA124" s="6">
        <f>IF(Form_Responses1[[#This Row],[rung_nhi]]="Không", 0, 1)</f>
        <v>0</v>
      </c>
      <c r="AB124" s="1" t="s">
        <v>21</v>
      </c>
      <c r="AC124" s="6">
        <v>404</v>
      </c>
      <c r="AD124" s="6">
        <v>7.0000000000000007E-2</v>
      </c>
      <c r="AE124" s="6">
        <v>37.549999999999997</v>
      </c>
      <c r="AF124" s="6">
        <v>167</v>
      </c>
      <c r="AG124" s="6">
        <v>519</v>
      </c>
      <c r="AH124" s="6">
        <v>130</v>
      </c>
      <c r="AI124" s="6">
        <v>5.4</v>
      </c>
      <c r="AJ124" s="6">
        <v>5</v>
      </c>
      <c r="AK124" s="6">
        <v>2.76</v>
      </c>
      <c r="AL124" s="1" t="s">
        <v>21</v>
      </c>
      <c r="AM124" s="28">
        <v>29833.5</v>
      </c>
      <c r="AN124" s="6">
        <f>IF(Form_Responses1[[#This Row],[NT_proBNP &gt; 35000]]="Có", 35001, Form_Responses1[[#This Row],[NT_ProBNP]])</f>
        <v>29833.5</v>
      </c>
      <c r="AO124" s="27">
        <f>IF(Form_Responses1[[#This Row],[NT_proBNP &gt; 35000]]="Có", 1, 0)</f>
        <v>0</v>
      </c>
      <c r="AP124" s="27">
        <v>17485.400000000001</v>
      </c>
      <c r="AQ124" s="6">
        <v>76</v>
      </c>
      <c r="AR124" s="6">
        <v>43</v>
      </c>
      <c r="AS124" s="6">
        <v>330</v>
      </c>
      <c r="AT124" s="6">
        <v>46.9</v>
      </c>
      <c r="AU124" s="6">
        <v>37</v>
      </c>
      <c r="AV124" s="6">
        <v>56.8</v>
      </c>
      <c r="AW124" s="6">
        <v>37</v>
      </c>
      <c r="AX124" s="6">
        <v>67</v>
      </c>
      <c r="AY124" s="24">
        <f>IF(Form_Responses1[[#This Row],[ket_cuc]]="Không tử vong", 0, 1)</f>
        <v>1</v>
      </c>
      <c r="AZ124" s="1" t="s">
        <v>29</v>
      </c>
      <c r="BA124" s="32">
        <v>48</v>
      </c>
      <c r="BB124" s="32">
        <v>8.5763169327007602E-2</v>
      </c>
    </row>
    <row r="125" spans="1:54" ht="13" x14ac:dyDescent="0.15">
      <c r="A125" s="2" t="s">
        <v>93</v>
      </c>
      <c r="B125" s="15">
        <v>91</v>
      </c>
      <c r="C125" s="15">
        <f>IF(Form_Responses1[[#This Row],[gioi_tinh]]="Nữ", 0, 1)</f>
        <v>0</v>
      </c>
      <c r="D125" s="2" t="s">
        <v>20</v>
      </c>
      <c r="E125" s="15">
        <v>22.2</v>
      </c>
      <c r="F125" s="15">
        <f>IF(Form_Responses1[[#This Row],[dai_thao_duong]]="Không", 0, 1)</f>
        <v>0</v>
      </c>
      <c r="G125" s="2" t="s">
        <v>21</v>
      </c>
      <c r="H125" s="15">
        <f t="shared" si="2"/>
        <v>1</v>
      </c>
      <c r="I125" s="2" t="s">
        <v>22</v>
      </c>
      <c r="J125" s="15">
        <f>IF(Form_Responses1[[#This Row],[hoi_chung_vanh_man]]="Không", 0, 1)</f>
        <v>0</v>
      </c>
      <c r="K125" s="2" t="s">
        <v>21</v>
      </c>
      <c r="L125" s="15">
        <f>IF(Form_Responses1[[#This Row],[ckd]]="Không", 0, 1)</f>
        <v>1</v>
      </c>
      <c r="M125" s="2" t="s">
        <v>22</v>
      </c>
      <c r="N125" s="15">
        <f t="shared" si="3"/>
        <v>0</v>
      </c>
      <c r="O125" s="2" t="s">
        <v>21</v>
      </c>
      <c r="P125" s="15">
        <f>IF(Form_Responses1[[#This Row],[phan_loai_the_lam_sang]]="Suy tim mất bù cấp", 1,0)</f>
        <v>1</v>
      </c>
      <c r="Q125" s="15">
        <f>IF(Form_Responses1[[#This Row],[phan_loai_the_lam_sang]]="Phù phổi cấp", 1, 0)</f>
        <v>0</v>
      </c>
      <c r="R125" s="15">
        <f>IF(Form_Responses1[[#This Row],[phan_loai_the_lam_sang]]="Choáng tim", 1, 0)</f>
        <v>0</v>
      </c>
      <c r="S125" s="2" t="s">
        <v>23</v>
      </c>
      <c r="T125" s="15">
        <v>46</v>
      </c>
      <c r="U125" s="15">
        <v>100</v>
      </c>
      <c r="V125" s="15">
        <v>60</v>
      </c>
      <c r="W125" s="15">
        <f>IF(Form_Responses1[[#This Row],[hcvc]]="Không", 0, 1)</f>
        <v>0</v>
      </c>
      <c r="X125" s="2" t="s">
        <v>21</v>
      </c>
      <c r="Y125" s="15">
        <f>IF(Form_Responses1[[#This Row],[suy_ho_hap]]="Không", 0, 1)</f>
        <v>1</v>
      </c>
      <c r="Z125" s="2" t="s">
        <v>22</v>
      </c>
      <c r="AA125" s="15">
        <f>IF(Form_Responses1[[#This Row],[rung_nhi]]="Không", 0, 1)</f>
        <v>0</v>
      </c>
      <c r="AB125" s="2" t="s">
        <v>21</v>
      </c>
      <c r="AC125" s="15">
        <v>292</v>
      </c>
      <c r="AD125" s="15">
        <v>0.08</v>
      </c>
      <c r="AE125" s="15">
        <v>10.79</v>
      </c>
      <c r="AF125" s="15">
        <v>94</v>
      </c>
      <c r="AG125" s="15">
        <v>381</v>
      </c>
      <c r="AH125" s="15">
        <v>129</v>
      </c>
      <c r="AI125" s="15">
        <v>5.6</v>
      </c>
      <c r="AJ125" s="15">
        <v>37</v>
      </c>
      <c r="AK125" s="15">
        <v>1.87</v>
      </c>
      <c r="AL125" s="2" t="s">
        <v>21</v>
      </c>
      <c r="AM125" s="2">
        <v>3295.5</v>
      </c>
      <c r="AN125" s="6">
        <f>IF(Form_Responses1[[#This Row],[NT_proBNP &gt; 35000]]="Có", 35001, Form_Responses1[[#This Row],[NT_ProBNP]])</f>
        <v>3295.5</v>
      </c>
      <c r="AO125" s="15">
        <f>IF(Form_Responses1[[#This Row],[NT_proBNP &gt; 35000]]="Có", 1, 0)</f>
        <v>0</v>
      </c>
      <c r="AP125" s="15">
        <v>6.22</v>
      </c>
      <c r="AQ125" s="15">
        <v>34</v>
      </c>
      <c r="AR125" s="15">
        <v>23</v>
      </c>
      <c r="AS125" s="15">
        <v>143</v>
      </c>
      <c r="AT125" s="18"/>
      <c r="AU125" s="15">
        <v>43.9</v>
      </c>
      <c r="AV125" s="15">
        <v>55.7</v>
      </c>
      <c r="AW125" s="15">
        <v>36</v>
      </c>
      <c r="AX125" s="15">
        <v>35</v>
      </c>
      <c r="AY125" s="22">
        <f>IF(Form_Responses1[[#This Row],[ket_cuc]]="Không tử vong", 0, 1)</f>
        <v>0</v>
      </c>
      <c r="AZ125" s="2" t="s">
        <v>24</v>
      </c>
      <c r="BA125" s="32">
        <v>54</v>
      </c>
      <c r="BB125" s="32">
        <v>0.13421425841372636</v>
      </c>
    </row>
    <row r="126" spans="1:54" ht="13" x14ac:dyDescent="0.15">
      <c r="A126" s="1" t="s">
        <v>120</v>
      </c>
      <c r="B126" s="6">
        <v>35</v>
      </c>
      <c r="C126" s="6">
        <f>IF(Form_Responses1[[#This Row],[gioi_tinh]]="Nữ", 0, 1)</f>
        <v>1</v>
      </c>
      <c r="D126" s="1" t="s">
        <v>26</v>
      </c>
      <c r="E126" s="6">
        <v>23.3</v>
      </c>
      <c r="F126" s="6">
        <f>IF(Form_Responses1[[#This Row],[dai_thao_duong]]="Không", 0, 1)</f>
        <v>0</v>
      </c>
      <c r="G126" s="1" t="s">
        <v>21</v>
      </c>
      <c r="H126" s="6">
        <f t="shared" si="2"/>
        <v>0</v>
      </c>
      <c r="I126" s="1" t="s">
        <v>21</v>
      </c>
      <c r="J126" s="6">
        <f>IF(Form_Responses1[[#This Row],[hoi_chung_vanh_man]]="Không", 0, 1)</f>
        <v>0</v>
      </c>
      <c r="K126" s="1" t="s">
        <v>21</v>
      </c>
      <c r="L126" s="6">
        <f>IF(Form_Responses1[[#This Row],[ckd]]="Không", 0, 1)</f>
        <v>0</v>
      </c>
      <c r="M126" s="1" t="s">
        <v>21</v>
      </c>
      <c r="N126" s="6">
        <f t="shared" si="3"/>
        <v>0</v>
      </c>
      <c r="O126" s="1" t="s">
        <v>21</v>
      </c>
      <c r="P126" s="6">
        <f>IF(Form_Responses1[[#This Row],[phan_loai_the_lam_sang]]="Suy tim mất bù cấp", 1,0)</f>
        <v>1</v>
      </c>
      <c r="Q126" s="6">
        <f>IF(Form_Responses1[[#This Row],[phan_loai_the_lam_sang]]="Phù phổi cấp", 1, 0)</f>
        <v>0</v>
      </c>
      <c r="R126" s="6">
        <f>IF(Form_Responses1[[#This Row],[phan_loai_the_lam_sang]]="Choáng tim", 1, 0)</f>
        <v>0</v>
      </c>
      <c r="S126" s="1" t="s">
        <v>23</v>
      </c>
      <c r="T126" s="6">
        <v>109</v>
      </c>
      <c r="U126" s="6">
        <v>120</v>
      </c>
      <c r="V126" s="6">
        <v>80</v>
      </c>
      <c r="W126" s="6">
        <f>IF(Form_Responses1[[#This Row],[hcvc]]="Không", 0, 1)</f>
        <v>0</v>
      </c>
      <c r="X126" s="1" t="s">
        <v>21</v>
      </c>
      <c r="Y126" s="6">
        <f>IF(Form_Responses1[[#This Row],[suy_ho_hap]]="Không", 0, 1)</f>
        <v>0</v>
      </c>
      <c r="Z126" s="1" t="s">
        <v>21</v>
      </c>
      <c r="AA126" s="6">
        <f>IF(Form_Responses1[[#This Row],[rung_nhi]]="Không", 0, 1)</f>
        <v>0</v>
      </c>
      <c r="AB126" s="1" t="s">
        <v>21</v>
      </c>
      <c r="AC126" s="6">
        <v>465</v>
      </c>
      <c r="AD126" s="6">
        <v>0.1</v>
      </c>
      <c r="AE126" s="6">
        <v>10.6</v>
      </c>
      <c r="AF126" s="6">
        <v>142</v>
      </c>
      <c r="AG126" s="6">
        <v>277</v>
      </c>
      <c r="AH126" s="6">
        <v>136</v>
      </c>
      <c r="AI126" s="6">
        <v>3.8</v>
      </c>
      <c r="AJ126" s="6">
        <v>21</v>
      </c>
      <c r="AK126" s="6">
        <v>0.95</v>
      </c>
      <c r="AL126" s="1" t="s">
        <v>21</v>
      </c>
      <c r="AM126" s="28">
        <v>19651.2</v>
      </c>
      <c r="AN126" s="6">
        <f>IF(Form_Responses1[[#This Row],[NT_proBNP &gt; 35000]]="Có", 35001, Form_Responses1[[#This Row],[NT_ProBNP]])</f>
        <v>19651.2</v>
      </c>
      <c r="AO126" s="27">
        <f>IF(Form_Responses1[[#This Row],[NT_proBNP &gt; 35000]]="Có", 1, 0)</f>
        <v>0</v>
      </c>
      <c r="AP126" s="6">
        <v>65.599999999999994</v>
      </c>
      <c r="AQ126" s="6">
        <v>25</v>
      </c>
      <c r="AR126" s="6">
        <v>59</v>
      </c>
      <c r="AS126" s="6">
        <v>99</v>
      </c>
      <c r="AT126" s="6">
        <v>45</v>
      </c>
      <c r="AU126" s="6">
        <v>56</v>
      </c>
      <c r="AV126" s="6">
        <v>68</v>
      </c>
      <c r="AW126" s="6">
        <v>36</v>
      </c>
      <c r="AX126" s="6">
        <v>73</v>
      </c>
      <c r="AY126" s="24">
        <f>IF(Form_Responses1[[#This Row],[ket_cuc]]="Không tử vong", 0, 1)</f>
        <v>0</v>
      </c>
      <c r="AZ126" s="1" t="s">
        <v>24</v>
      </c>
      <c r="BA126" s="32">
        <v>38</v>
      </c>
      <c r="BB126" s="32">
        <v>3.308917766772259E-2</v>
      </c>
    </row>
    <row r="127" spans="1:54" ht="13" x14ac:dyDescent="0.15">
      <c r="A127" s="2" t="s">
        <v>331</v>
      </c>
      <c r="B127" s="15">
        <v>61</v>
      </c>
      <c r="C127" s="15">
        <f>IF(Form_Responses1[[#This Row],[gioi_tinh]]="Nữ", 0, 1)</f>
        <v>1</v>
      </c>
      <c r="D127" s="2" t="s">
        <v>26</v>
      </c>
      <c r="E127" s="15">
        <v>24</v>
      </c>
      <c r="F127" s="15">
        <f>IF(Form_Responses1[[#This Row],[dai_thao_duong]]="Không", 0, 1)</f>
        <v>1</v>
      </c>
      <c r="G127" s="2" t="s">
        <v>22</v>
      </c>
      <c r="H127" s="15">
        <f t="shared" si="2"/>
        <v>1</v>
      </c>
      <c r="I127" s="2" t="s">
        <v>22</v>
      </c>
      <c r="J127" s="15">
        <f>IF(Form_Responses1[[#This Row],[hoi_chung_vanh_man]]="Không", 0, 1)</f>
        <v>0</v>
      </c>
      <c r="K127" s="2" t="s">
        <v>21</v>
      </c>
      <c r="L127" s="15">
        <f>IF(Form_Responses1[[#This Row],[ckd]]="Không", 0, 1)</f>
        <v>1</v>
      </c>
      <c r="M127" s="2" t="s">
        <v>22</v>
      </c>
      <c r="N127" s="15">
        <f t="shared" si="3"/>
        <v>0</v>
      </c>
      <c r="O127" s="2" t="s">
        <v>21</v>
      </c>
      <c r="P127" s="15">
        <f>IF(Form_Responses1[[#This Row],[phan_loai_the_lam_sang]]="Suy tim mất bù cấp", 1,0)</f>
        <v>1</v>
      </c>
      <c r="Q127" s="15">
        <f>IF(Form_Responses1[[#This Row],[phan_loai_the_lam_sang]]="Phù phổi cấp", 1, 0)</f>
        <v>0</v>
      </c>
      <c r="R127" s="15">
        <f>IF(Form_Responses1[[#This Row],[phan_loai_the_lam_sang]]="Choáng tim", 1, 0)</f>
        <v>0</v>
      </c>
      <c r="S127" s="2" t="s">
        <v>23</v>
      </c>
      <c r="T127" s="15">
        <v>96</v>
      </c>
      <c r="U127" s="15">
        <v>120</v>
      </c>
      <c r="V127" s="15">
        <v>90</v>
      </c>
      <c r="W127" s="15">
        <f>IF(Form_Responses1[[#This Row],[hcvc]]="Không", 0, 1)</f>
        <v>0</v>
      </c>
      <c r="X127" s="2" t="s">
        <v>21</v>
      </c>
      <c r="Y127" s="15">
        <f>IF(Form_Responses1[[#This Row],[suy_ho_hap]]="Không", 0, 1)</f>
        <v>0</v>
      </c>
      <c r="Z127" s="2" t="s">
        <v>21</v>
      </c>
      <c r="AA127" s="15">
        <f>IF(Form_Responses1[[#This Row],[rung_nhi]]="Không", 0, 1)</f>
        <v>0</v>
      </c>
      <c r="AB127" s="2" t="s">
        <v>21</v>
      </c>
      <c r="AC127" s="15">
        <v>450</v>
      </c>
      <c r="AD127" s="15">
        <v>0.08</v>
      </c>
      <c r="AE127" s="15">
        <v>4.8</v>
      </c>
      <c r="AF127" s="15">
        <v>70</v>
      </c>
      <c r="AG127" s="15">
        <v>127</v>
      </c>
      <c r="AH127" s="15">
        <v>141</v>
      </c>
      <c r="AI127" s="15">
        <v>3.5</v>
      </c>
      <c r="AJ127" s="15">
        <v>42</v>
      </c>
      <c r="AK127" s="15">
        <v>8.67</v>
      </c>
      <c r="AL127" s="2" t="s">
        <v>22</v>
      </c>
      <c r="AM127" s="12"/>
      <c r="AN127" s="6">
        <f>IF(Form_Responses1[[#This Row],[NT_proBNP &gt; 35000]]="Có", 35001, Form_Responses1[[#This Row],[NT_ProBNP]])</f>
        <v>35001</v>
      </c>
      <c r="AO127" s="18">
        <f>IF(Form_Responses1[[#This Row],[NT_proBNP &gt; 35000]]="Có", 1, 0)</f>
        <v>1</v>
      </c>
      <c r="AP127" s="15">
        <v>186.12</v>
      </c>
      <c r="AQ127" s="15">
        <v>19</v>
      </c>
      <c r="AR127" s="15">
        <v>11</v>
      </c>
      <c r="AS127" s="27">
        <v>93</v>
      </c>
      <c r="AT127" s="27">
        <v>59</v>
      </c>
      <c r="AU127" s="15">
        <v>56</v>
      </c>
      <c r="AV127" s="15">
        <v>68</v>
      </c>
      <c r="AW127" s="15">
        <v>36</v>
      </c>
      <c r="AX127" s="18"/>
      <c r="AY127" s="26">
        <f>IF(Form_Responses1[[#This Row],[ket_cuc]]="Không tử vong", 0, 1)</f>
        <v>0</v>
      </c>
      <c r="AZ127" s="2" t="s">
        <v>24</v>
      </c>
      <c r="BA127" s="32">
        <v>45</v>
      </c>
      <c r="BB127" s="32">
        <v>7.2884645746489632E-2</v>
      </c>
    </row>
    <row r="128" spans="1:54" ht="13" x14ac:dyDescent="0.15">
      <c r="A128" s="1" t="s">
        <v>270</v>
      </c>
      <c r="B128" s="6">
        <v>64</v>
      </c>
      <c r="C128" s="6">
        <f>IF(Form_Responses1[[#This Row],[gioi_tinh]]="Nữ", 0, 1)</f>
        <v>1</v>
      </c>
      <c r="D128" s="1" t="s">
        <v>26</v>
      </c>
      <c r="E128" s="6">
        <v>26</v>
      </c>
      <c r="F128" s="6">
        <f>IF(Form_Responses1[[#This Row],[dai_thao_duong]]="Không", 0, 1)</f>
        <v>1</v>
      </c>
      <c r="G128" s="1" t="s">
        <v>22</v>
      </c>
      <c r="H128" s="6">
        <f t="shared" si="2"/>
        <v>1</v>
      </c>
      <c r="I128" s="1" t="s">
        <v>22</v>
      </c>
      <c r="J128" s="6">
        <f>IF(Form_Responses1[[#This Row],[hoi_chung_vanh_man]]="Không", 0, 1)</f>
        <v>0</v>
      </c>
      <c r="K128" s="1" t="s">
        <v>21</v>
      </c>
      <c r="L128" s="6">
        <f>IF(Form_Responses1[[#This Row],[ckd]]="Không", 0, 1)</f>
        <v>1</v>
      </c>
      <c r="M128" s="1" t="s">
        <v>22</v>
      </c>
      <c r="N128" s="6">
        <f t="shared" si="3"/>
        <v>0</v>
      </c>
      <c r="O128" s="1" t="s">
        <v>21</v>
      </c>
      <c r="P128" s="6">
        <f>IF(Form_Responses1[[#This Row],[phan_loai_the_lam_sang]]="Suy tim mất bù cấp", 1,0)</f>
        <v>0</v>
      </c>
      <c r="Q128" s="6">
        <f>IF(Form_Responses1[[#This Row],[phan_loai_the_lam_sang]]="Phù phổi cấp", 1, 0)</f>
        <v>1</v>
      </c>
      <c r="R128" s="6">
        <f>IF(Form_Responses1[[#This Row],[phan_loai_the_lam_sang]]="Choáng tim", 1, 0)</f>
        <v>0</v>
      </c>
      <c r="S128" s="1" t="s">
        <v>45</v>
      </c>
      <c r="T128" s="6">
        <v>88</v>
      </c>
      <c r="U128" s="6">
        <v>120</v>
      </c>
      <c r="V128" s="6">
        <v>80</v>
      </c>
      <c r="W128" s="6">
        <f>IF(Form_Responses1[[#This Row],[hcvc]]="Không", 0, 1)</f>
        <v>1</v>
      </c>
      <c r="X128" s="1" t="s">
        <v>22</v>
      </c>
      <c r="Y128" s="6">
        <f>IF(Form_Responses1[[#This Row],[suy_ho_hap]]="Không", 0, 1)</f>
        <v>1</v>
      </c>
      <c r="Z128" s="1" t="s">
        <v>22</v>
      </c>
      <c r="AA128" s="6">
        <f>IF(Form_Responses1[[#This Row],[rung_nhi]]="Không", 0, 1)</f>
        <v>0</v>
      </c>
      <c r="AB128" s="1" t="s">
        <v>21</v>
      </c>
      <c r="AC128" s="6">
        <v>413</v>
      </c>
      <c r="AD128" s="6">
        <v>0.08</v>
      </c>
      <c r="AE128" s="6">
        <v>17.7</v>
      </c>
      <c r="AF128" s="6">
        <v>120</v>
      </c>
      <c r="AG128" s="6">
        <v>269</v>
      </c>
      <c r="AH128" s="6">
        <v>143</v>
      </c>
      <c r="AI128" s="6">
        <v>3.6</v>
      </c>
      <c r="AJ128" s="6">
        <v>31</v>
      </c>
      <c r="AK128" s="6">
        <v>2.88</v>
      </c>
      <c r="AL128" s="1" t="s">
        <v>21</v>
      </c>
      <c r="AM128" s="1">
        <v>4193.3999999999996</v>
      </c>
      <c r="AN128" s="6">
        <f>IF(Form_Responses1[[#This Row],[NT_proBNP &gt; 35000]]="Có", 35001, Form_Responses1[[#This Row],[NT_ProBNP]])</f>
        <v>4193.3999999999996</v>
      </c>
      <c r="AO128" s="6">
        <f>IF(Form_Responses1[[#This Row],[NT_proBNP &gt; 35000]]="Có", 1, 0)</f>
        <v>0</v>
      </c>
      <c r="AP128" s="6">
        <v>388.6</v>
      </c>
      <c r="AQ128" s="6">
        <v>274</v>
      </c>
      <c r="AR128" s="6">
        <v>153</v>
      </c>
      <c r="AS128" s="27">
        <v>400</v>
      </c>
      <c r="AT128" s="27">
        <v>46</v>
      </c>
      <c r="AU128" s="6">
        <v>44.7</v>
      </c>
      <c r="AV128" s="6">
        <v>54.9</v>
      </c>
      <c r="AW128" s="6">
        <v>36</v>
      </c>
      <c r="AX128" s="27">
        <v>30</v>
      </c>
      <c r="AY128" s="29">
        <f>IF(Form_Responses1[[#This Row],[ket_cuc]]="Không tử vong", 0, 1)</f>
        <v>0</v>
      </c>
      <c r="AZ128" s="1" t="s">
        <v>24</v>
      </c>
      <c r="BA128" s="32">
        <v>41</v>
      </c>
      <c r="BB128" s="32">
        <v>6.8958434360571114E-2</v>
      </c>
    </row>
    <row r="129" spans="1:54" ht="13" x14ac:dyDescent="0.15">
      <c r="A129" s="2" t="s">
        <v>48</v>
      </c>
      <c r="B129" s="15">
        <v>76</v>
      </c>
      <c r="C129" s="15">
        <f>IF(Form_Responses1[[#This Row],[gioi_tinh]]="Nữ", 0, 1)</f>
        <v>1</v>
      </c>
      <c r="D129" s="2" t="s">
        <v>26</v>
      </c>
      <c r="E129" s="15">
        <v>20.8</v>
      </c>
      <c r="F129" s="15">
        <f>IF(Form_Responses1[[#This Row],[dai_thao_duong]]="Không", 0, 1)</f>
        <v>1</v>
      </c>
      <c r="G129" s="2" t="s">
        <v>22</v>
      </c>
      <c r="H129" s="15">
        <f t="shared" si="2"/>
        <v>1</v>
      </c>
      <c r="I129" s="2" t="s">
        <v>22</v>
      </c>
      <c r="J129" s="15">
        <f>IF(Form_Responses1[[#This Row],[hoi_chung_vanh_man]]="Không", 0, 1)</f>
        <v>1</v>
      </c>
      <c r="K129" s="2" t="s">
        <v>22</v>
      </c>
      <c r="L129" s="15">
        <f>IF(Form_Responses1[[#This Row],[ckd]]="Không", 0, 1)</f>
        <v>0</v>
      </c>
      <c r="M129" s="2" t="s">
        <v>21</v>
      </c>
      <c r="N129" s="15">
        <f t="shared" si="3"/>
        <v>0</v>
      </c>
      <c r="O129" s="2" t="s">
        <v>21</v>
      </c>
      <c r="P129" s="15">
        <f>IF(Form_Responses1[[#This Row],[phan_loai_the_lam_sang]]="Suy tim mất bù cấp", 1,0)</f>
        <v>1</v>
      </c>
      <c r="Q129" s="15">
        <f>IF(Form_Responses1[[#This Row],[phan_loai_the_lam_sang]]="Phù phổi cấp", 1, 0)</f>
        <v>0</v>
      </c>
      <c r="R129" s="15">
        <f>IF(Form_Responses1[[#This Row],[phan_loai_the_lam_sang]]="Choáng tim", 1, 0)</f>
        <v>0</v>
      </c>
      <c r="S129" s="2" t="s">
        <v>23</v>
      </c>
      <c r="T129" s="15">
        <v>98</v>
      </c>
      <c r="U129" s="15">
        <v>160</v>
      </c>
      <c r="V129" s="15">
        <v>90</v>
      </c>
      <c r="W129" s="15">
        <f>IF(Form_Responses1[[#This Row],[hcvc]]="Không", 0, 1)</f>
        <v>0</v>
      </c>
      <c r="X129" s="2" t="s">
        <v>21</v>
      </c>
      <c r="Y129" s="15">
        <f>IF(Form_Responses1[[#This Row],[suy_ho_hap]]="Không", 0, 1)</f>
        <v>1</v>
      </c>
      <c r="Z129" s="2" t="s">
        <v>22</v>
      </c>
      <c r="AA129" s="15">
        <f>IF(Form_Responses1[[#This Row],[rung_nhi]]="Không", 0, 1)</f>
        <v>0</v>
      </c>
      <c r="AB129" s="2" t="s">
        <v>21</v>
      </c>
      <c r="AC129" s="15">
        <v>464</v>
      </c>
      <c r="AD129" s="15">
        <v>7.0000000000000007E-2</v>
      </c>
      <c r="AE129" s="15">
        <v>8.52</v>
      </c>
      <c r="AF129" s="15">
        <v>119</v>
      </c>
      <c r="AG129" s="15">
        <v>264</v>
      </c>
      <c r="AH129" s="15">
        <v>135</v>
      </c>
      <c r="AI129" s="15">
        <v>4.0999999999999996</v>
      </c>
      <c r="AJ129" s="15">
        <v>38</v>
      </c>
      <c r="AK129" s="15">
        <v>1.68</v>
      </c>
      <c r="AL129" s="2" t="s">
        <v>21</v>
      </c>
      <c r="AM129" s="2">
        <v>15206.5</v>
      </c>
      <c r="AN129" s="6">
        <f>IF(Form_Responses1[[#This Row],[NT_proBNP &gt; 35000]]="Có", 35001, Form_Responses1[[#This Row],[NT_ProBNP]])</f>
        <v>15206.5</v>
      </c>
      <c r="AO129" s="15">
        <f>IF(Form_Responses1[[#This Row],[NT_proBNP &gt; 35000]]="Có", 1, 0)</f>
        <v>0</v>
      </c>
      <c r="AP129" s="15">
        <v>1010.29</v>
      </c>
      <c r="AQ129" s="15">
        <v>17</v>
      </c>
      <c r="AR129" s="15">
        <v>16</v>
      </c>
      <c r="AS129" s="15">
        <v>191</v>
      </c>
      <c r="AT129" s="27">
        <v>34</v>
      </c>
      <c r="AU129" s="15">
        <v>24</v>
      </c>
      <c r="AV129" s="15">
        <v>30</v>
      </c>
      <c r="AW129" s="15">
        <v>36</v>
      </c>
      <c r="AY129" s="25">
        <f>IF(Form_Responses1[[#This Row],[ket_cuc]]="Không tử vong", 0, 1)</f>
        <v>0</v>
      </c>
      <c r="AZ129" s="2" t="s">
        <v>24</v>
      </c>
      <c r="BA129" s="32">
        <v>41</v>
      </c>
      <c r="BB129" s="32">
        <v>0.10249543000485928</v>
      </c>
    </row>
    <row r="130" spans="1:54" ht="13" x14ac:dyDescent="0.15">
      <c r="A130" s="2" t="s">
        <v>153</v>
      </c>
      <c r="B130" s="15">
        <v>62</v>
      </c>
      <c r="C130" s="15">
        <f>IF(Form_Responses1[[#This Row],[gioi_tinh]]="Nữ", 0, 1)</f>
        <v>1</v>
      </c>
      <c r="D130" s="2" t="s">
        <v>26</v>
      </c>
      <c r="E130" s="15">
        <v>22</v>
      </c>
      <c r="F130" s="15">
        <f>IF(Form_Responses1[[#This Row],[dai_thao_duong]]="Không", 0, 1)</f>
        <v>1</v>
      </c>
      <c r="G130" s="2" t="s">
        <v>22</v>
      </c>
      <c r="H130" s="15">
        <f t="shared" ref="H130:H193" si="4">IF(I130="Có", 1, 0)</f>
        <v>1</v>
      </c>
      <c r="I130" s="2" t="s">
        <v>22</v>
      </c>
      <c r="J130" s="15">
        <f>IF(Form_Responses1[[#This Row],[hoi_chung_vanh_man]]="Không", 0, 1)</f>
        <v>0</v>
      </c>
      <c r="K130" s="2" t="s">
        <v>21</v>
      </c>
      <c r="L130" s="15">
        <f>IF(Form_Responses1[[#This Row],[ckd]]="Không", 0, 1)</f>
        <v>0</v>
      </c>
      <c r="M130" s="2" t="s">
        <v>21</v>
      </c>
      <c r="N130" s="15">
        <f t="shared" ref="N130:N193" si="5">IF(O130="Không", 0, 1)</f>
        <v>0</v>
      </c>
      <c r="O130" s="2" t="s">
        <v>21</v>
      </c>
      <c r="P130" s="15">
        <f>IF(Form_Responses1[[#This Row],[phan_loai_the_lam_sang]]="Suy tim mất bù cấp", 1,0)</f>
        <v>1</v>
      </c>
      <c r="Q130" s="15">
        <f>IF(Form_Responses1[[#This Row],[phan_loai_the_lam_sang]]="Phù phổi cấp", 1, 0)</f>
        <v>0</v>
      </c>
      <c r="R130" s="15">
        <f>IF(Form_Responses1[[#This Row],[phan_loai_the_lam_sang]]="Choáng tim", 1, 0)</f>
        <v>0</v>
      </c>
      <c r="S130" s="2" t="s">
        <v>23</v>
      </c>
      <c r="T130" s="15">
        <v>128</v>
      </c>
      <c r="U130" s="15">
        <v>200</v>
      </c>
      <c r="V130" s="15">
        <v>100</v>
      </c>
      <c r="W130" s="15">
        <f>IF(Form_Responses1[[#This Row],[hcvc]]="Không", 0, 1)</f>
        <v>1</v>
      </c>
      <c r="X130" s="2" t="s">
        <v>22</v>
      </c>
      <c r="Y130" s="15">
        <f>IF(Form_Responses1[[#This Row],[suy_ho_hap]]="Không", 0, 1)</f>
        <v>0</v>
      </c>
      <c r="Z130" s="2" t="s">
        <v>21</v>
      </c>
      <c r="AA130" s="15">
        <f>IF(Form_Responses1[[#This Row],[rung_nhi]]="Không", 0, 1)</f>
        <v>0</v>
      </c>
      <c r="AB130" s="2" t="s">
        <v>21</v>
      </c>
      <c r="AC130" s="15">
        <v>388</v>
      </c>
      <c r="AD130" s="15">
        <v>0.08</v>
      </c>
      <c r="AE130" s="15">
        <v>17</v>
      </c>
      <c r="AF130" s="15">
        <v>155</v>
      </c>
      <c r="AG130" s="15">
        <v>276</v>
      </c>
      <c r="AH130" s="15">
        <v>133</v>
      </c>
      <c r="AI130" s="15">
        <v>4.2</v>
      </c>
      <c r="AJ130" s="15">
        <v>2.7</v>
      </c>
      <c r="AK130" s="15">
        <v>1.29</v>
      </c>
      <c r="AL130" s="2" t="s">
        <v>21</v>
      </c>
      <c r="AM130" s="28">
        <v>10472.9</v>
      </c>
      <c r="AN130" s="6">
        <f>IF(Form_Responses1[[#This Row],[NT_proBNP &gt; 35000]]="Có", 35001, Form_Responses1[[#This Row],[NT_ProBNP]])</f>
        <v>10472.9</v>
      </c>
      <c r="AO130" s="27">
        <f>IF(Form_Responses1[[#This Row],[NT_proBNP &gt; 35000]]="Có", 1, 0)</f>
        <v>0</v>
      </c>
      <c r="AP130" s="15">
        <v>54029</v>
      </c>
      <c r="AQ130" s="15">
        <v>190</v>
      </c>
      <c r="AR130" s="15">
        <v>76</v>
      </c>
      <c r="AS130" s="15">
        <v>233</v>
      </c>
      <c r="AT130" s="27">
        <v>32</v>
      </c>
      <c r="AU130" s="15">
        <v>49</v>
      </c>
      <c r="AV130" s="15">
        <v>60</v>
      </c>
      <c r="AW130" s="15">
        <v>36</v>
      </c>
      <c r="AX130" s="18"/>
      <c r="AY130" s="26">
        <f>IF(Form_Responses1[[#This Row],[ket_cuc]]="Không tử vong", 0, 1)</f>
        <v>0</v>
      </c>
      <c r="AZ130" s="2" t="s">
        <v>24</v>
      </c>
      <c r="BA130" s="32">
        <v>28</v>
      </c>
      <c r="BB130" s="32">
        <v>4.2275193759370513E-2</v>
      </c>
    </row>
    <row r="131" spans="1:54" ht="13" x14ac:dyDescent="0.15">
      <c r="A131" s="1" t="s">
        <v>176</v>
      </c>
      <c r="B131" s="6">
        <v>67</v>
      </c>
      <c r="C131" s="6">
        <f>IF(Form_Responses1[[#This Row],[gioi_tinh]]="Nữ", 0, 1)</f>
        <v>0</v>
      </c>
      <c r="D131" s="1" t="s">
        <v>20</v>
      </c>
      <c r="E131" s="6">
        <v>18.399999999999999</v>
      </c>
      <c r="F131" s="6">
        <f>IF(Form_Responses1[[#This Row],[dai_thao_duong]]="Không", 0, 1)</f>
        <v>0</v>
      </c>
      <c r="G131" s="1" t="s">
        <v>21</v>
      </c>
      <c r="H131" s="6">
        <f t="shared" si="4"/>
        <v>0</v>
      </c>
      <c r="I131" s="1" t="s">
        <v>21</v>
      </c>
      <c r="J131" s="6">
        <f>IF(Form_Responses1[[#This Row],[hoi_chung_vanh_man]]="Không", 0, 1)</f>
        <v>1</v>
      </c>
      <c r="K131" s="1" t="s">
        <v>22</v>
      </c>
      <c r="L131" s="6">
        <f>IF(Form_Responses1[[#This Row],[ckd]]="Không", 0, 1)</f>
        <v>0</v>
      </c>
      <c r="M131" s="1" t="s">
        <v>21</v>
      </c>
      <c r="N131" s="6">
        <f t="shared" si="5"/>
        <v>0</v>
      </c>
      <c r="O131" s="1" t="s">
        <v>21</v>
      </c>
      <c r="P131" s="6">
        <f>IF(Form_Responses1[[#This Row],[phan_loai_the_lam_sang]]="Suy tim mất bù cấp", 1,0)</f>
        <v>1</v>
      </c>
      <c r="Q131" s="6">
        <f>IF(Form_Responses1[[#This Row],[phan_loai_the_lam_sang]]="Phù phổi cấp", 1, 0)</f>
        <v>0</v>
      </c>
      <c r="R131" s="6">
        <f>IF(Form_Responses1[[#This Row],[phan_loai_the_lam_sang]]="Choáng tim", 1, 0)</f>
        <v>0</v>
      </c>
      <c r="S131" s="1" t="s">
        <v>23</v>
      </c>
      <c r="T131" s="6">
        <v>80</v>
      </c>
      <c r="U131" s="6">
        <v>90</v>
      </c>
      <c r="V131" s="6">
        <v>60</v>
      </c>
      <c r="W131" s="6">
        <f>IF(Form_Responses1[[#This Row],[hcvc]]="Không", 0, 1)</f>
        <v>0</v>
      </c>
      <c r="X131" s="1" t="s">
        <v>21</v>
      </c>
      <c r="Y131" s="6">
        <f>IF(Form_Responses1[[#This Row],[suy_ho_hap]]="Không", 0, 1)</f>
        <v>0</v>
      </c>
      <c r="Z131" s="1" t="s">
        <v>21</v>
      </c>
      <c r="AA131" s="6">
        <f>IF(Form_Responses1[[#This Row],[rung_nhi]]="Không", 0, 1)</f>
        <v>1</v>
      </c>
      <c r="AB131" s="1" t="s">
        <v>22</v>
      </c>
      <c r="AC131" s="6">
        <v>411</v>
      </c>
      <c r="AD131" s="6">
        <v>0.06</v>
      </c>
      <c r="AE131" s="6">
        <v>5.58</v>
      </c>
      <c r="AF131" s="6">
        <v>152</v>
      </c>
      <c r="AG131" s="6">
        <v>82</v>
      </c>
      <c r="AH131" s="6">
        <v>134</v>
      </c>
      <c r="AI131" s="6">
        <v>4</v>
      </c>
      <c r="AJ131" s="6">
        <v>26</v>
      </c>
      <c r="AK131" s="6">
        <v>1.51</v>
      </c>
      <c r="AL131" s="11" t="s">
        <v>21</v>
      </c>
      <c r="AM131" s="10">
        <v>26176.7</v>
      </c>
      <c r="AN131" s="6">
        <f>IF(Form_Responses1[[#This Row],[NT_proBNP &gt; 35000]]="Có", 35001, Form_Responses1[[#This Row],[NT_ProBNP]])</f>
        <v>26176.7</v>
      </c>
      <c r="AO131" s="13">
        <f>IF(Form_Responses1[[#This Row],[NT_proBNP &gt; 35000]]="Có", 1, 0)</f>
        <v>0</v>
      </c>
      <c r="AP131" s="6">
        <v>29.2</v>
      </c>
      <c r="AQ131" s="6">
        <v>35</v>
      </c>
      <c r="AR131" s="6">
        <v>15</v>
      </c>
      <c r="AS131" s="27">
        <v>131</v>
      </c>
      <c r="AT131" s="6">
        <v>40.200000000000003</v>
      </c>
      <c r="AU131" s="6">
        <v>64.099999999999994</v>
      </c>
      <c r="AV131" s="6">
        <v>72.099999999999994</v>
      </c>
      <c r="AW131" s="6">
        <v>35</v>
      </c>
      <c r="AX131" s="6">
        <v>25</v>
      </c>
      <c r="AY131" s="24">
        <f>IF(Form_Responses1[[#This Row],[ket_cuc]]="Không tử vong", 0, 1)</f>
        <v>0</v>
      </c>
      <c r="AZ131" s="1" t="s">
        <v>24</v>
      </c>
      <c r="BA131" s="32">
        <v>45</v>
      </c>
      <c r="BB131" s="32">
        <v>8.7607792519685632E-2</v>
      </c>
    </row>
    <row r="132" spans="1:54" ht="13" x14ac:dyDescent="0.15">
      <c r="A132" s="2" t="s">
        <v>175</v>
      </c>
      <c r="B132" s="15">
        <v>47</v>
      </c>
      <c r="C132" s="15">
        <f>IF(Form_Responses1[[#This Row],[gioi_tinh]]="Nữ", 0, 1)</f>
        <v>0</v>
      </c>
      <c r="D132" s="2" t="s">
        <v>20</v>
      </c>
      <c r="E132" s="15">
        <v>24.4</v>
      </c>
      <c r="F132" s="15">
        <f>IF(Form_Responses1[[#This Row],[dai_thao_duong]]="Không", 0, 1)</f>
        <v>0</v>
      </c>
      <c r="G132" s="2" t="s">
        <v>21</v>
      </c>
      <c r="H132" s="15">
        <f t="shared" si="4"/>
        <v>1</v>
      </c>
      <c r="I132" s="2" t="s">
        <v>22</v>
      </c>
      <c r="J132" s="15">
        <f>IF(Form_Responses1[[#This Row],[hoi_chung_vanh_man]]="Không", 0, 1)</f>
        <v>1</v>
      </c>
      <c r="K132" s="2" t="s">
        <v>22</v>
      </c>
      <c r="L132" s="15">
        <f>IF(Form_Responses1[[#This Row],[ckd]]="Không", 0, 1)</f>
        <v>0</v>
      </c>
      <c r="M132" s="2" t="s">
        <v>21</v>
      </c>
      <c r="N132" s="15">
        <f t="shared" si="5"/>
        <v>0</v>
      </c>
      <c r="O132" s="2" t="s">
        <v>21</v>
      </c>
      <c r="P132" s="15">
        <f>IF(Form_Responses1[[#This Row],[phan_loai_the_lam_sang]]="Suy tim mất bù cấp", 1,0)</f>
        <v>1</v>
      </c>
      <c r="Q132" s="15">
        <f>IF(Form_Responses1[[#This Row],[phan_loai_the_lam_sang]]="Phù phổi cấp", 1, 0)</f>
        <v>0</v>
      </c>
      <c r="R132" s="15">
        <f>IF(Form_Responses1[[#This Row],[phan_loai_the_lam_sang]]="Choáng tim", 1, 0)</f>
        <v>0</v>
      </c>
      <c r="S132" s="2" t="s">
        <v>23</v>
      </c>
      <c r="T132" s="15">
        <v>72</v>
      </c>
      <c r="U132" s="15">
        <v>140</v>
      </c>
      <c r="V132" s="15">
        <v>80</v>
      </c>
      <c r="W132" s="15">
        <f>IF(Form_Responses1[[#This Row],[hcvc]]="Không", 0, 1)</f>
        <v>0</v>
      </c>
      <c r="X132" s="2" t="s">
        <v>21</v>
      </c>
      <c r="Y132" s="15">
        <f>IF(Form_Responses1[[#This Row],[suy_ho_hap]]="Không", 0, 1)</f>
        <v>0</v>
      </c>
      <c r="Z132" s="2" t="s">
        <v>21</v>
      </c>
      <c r="AA132" s="15">
        <f>IF(Form_Responses1[[#This Row],[rung_nhi]]="Không", 0, 1)</f>
        <v>0</v>
      </c>
      <c r="AB132" s="2" t="s">
        <v>21</v>
      </c>
      <c r="AC132" s="15">
        <v>430</v>
      </c>
      <c r="AD132" s="15">
        <v>0.08</v>
      </c>
      <c r="AE132" s="15">
        <v>1.25</v>
      </c>
      <c r="AF132" s="15">
        <v>75</v>
      </c>
      <c r="AG132" s="15">
        <v>168</v>
      </c>
      <c r="AH132" s="15">
        <v>134</v>
      </c>
      <c r="AI132" s="15">
        <v>3.9</v>
      </c>
      <c r="AJ132" s="15">
        <v>52</v>
      </c>
      <c r="AK132" s="15">
        <v>1.94</v>
      </c>
      <c r="AL132" s="2" t="s">
        <v>21</v>
      </c>
      <c r="AM132" s="2">
        <v>34952</v>
      </c>
      <c r="AN132" s="6">
        <f>IF(Form_Responses1[[#This Row],[NT_proBNP &gt; 35000]]="Có", 35001, Form_Responses1[[#This Row],[NT_ProBNP]])</f>
        <v>34952</v>
      </c>
      <c r="AO132" s="27">
        <f>IF(Form_Responses1[[#This Row],[NT_proBNP &gt; 35000]]="Có", 1, 0)</f>
        <v>0</v>
      </c>
      <c r="AP132" s="27">
        <v>62.4</v>
      </c>
      <c r="AQ132" s="15">
        <v>25</v>
      </c>
      <c r="AR132" s="15">
        <v>11</v>
      </c>
      <c r="AS132" s="27">
        <v>80</v>
      </c>
      <c r="AT132" s="15">
        <v>36</v>
      </c>
      <c r="AU132" s="15">
        <v>46</v>
      </c>
      <c r="AV132" s="15">
        <v>56</v>
      </c>
      <c r="AW132" s="15">
        <v>35</v>
      </c>
      <c r="AX132" s="27">
        <v>30</v>
      </c>
      <c r="AY132" s="29">
        <f>IF(Form_Responses1[[#This Row],[ket_cuc]]="Không tử vong", 0, 1)</f>
        <v>0</v>
      </c>
      <c r="AZ132" s="2" t="s">
        <v>24</v>
      </c>
      <c r="BA132" s="32">
        <v>33</v>
      </c>
      <c r="BB132" s="32">
        <v>5.4330879110225272E-2</v>
      </c>
    </row>
    <row r="133" spans="1:54" ht="13" x14ac:dyDescent="0.15">
      <c r="A133" s="1" t="s">
        <v>146</v>
      </c>
      <c r="B133" s="6">
        <v>48</v>
      </c>
      <c r="C133" s="6">
        <f>IF(Form_Responses1[[#This Row],[gioi_tinh]]="Nữ", 0, 1)</f>
        <v>1</v>
      </c>
      <c r="D133" s="1" t="s">
        <v>26</v>
      </c>
      <c r="E133" s="6">
        <v>23.9</v>
      </c>
      <c r="F133" s="6">
        <f>IF(Form_Responses1[[#This Row],[dai_thao_duong]]="Không", 0, 1)</f>
        <v>0</v>
      </c>
      <c r="G133" s="1" t="s">
        <v>21</v>
      </c>
      <c r="H133" s="6">
        <f t="shared" si="4"/>
        <v>1</v>
      </c>
      <c r="I133" s="1" t="s">
        <v>22</v>
      </c>
      <c r="J133" s="6">
        <f>IF(Form_Responses1[[#This Row],[hoi_chung_vanh_man]]="Không", 0, 1)</f>
        <v>0</v>
      </c>
      <c r="K133" s="1" t="s">
        <v>21</v>
      </c>
      <c r="L133" s="6">
        <f>IF(Form_Responses1[[#This Row],[ckd]]="Không", 0, 1)</f>
        <v>0</v>
      </c>
      <c r="M133" s="1" t="s">
        <v>21</v>
      </c>
      <c r="N133" s="6">
        <f t="shared" si="5"/>
        <v>0</v>
      </c>
      <c r="O133" s="1" t="s">
        <v>21</v>
      </c>
      <c r="P133" s="6">
        <f>IF(Form_Responses1[[#This Row],[phan_loai_the_lam_sang]]="Suy tim mất bù cấp", 1,0)</f>
        <v>1</v>
      </c>
      <c r="Q133" s="6">
        <f>IF(Form_Responses1[[#This Row],[phan_loai_the_lam_sang]]="Phù phổi cấp", 1, 0)</f>
        <v>0</v>
      </c>
      <c r="R133" s="6">
        <f>IF(Form_Responses1[[#This Row],[phan_loai_the_lam_sang]]="Choáng tim", 1, 0)</f>
        <v>0</v>
      </c>
      <c r="S133" s="1" t="s">
        <v>23</v>
      </c>
      <c r="T133" s="6">
        <v>70</v>
      </c>
      <c r="U133" s="6">
        <v>110</v>
      </c>
      <c r="V133" s="6">
        <v>60</v>
      </c>
      <c r="W133" s="6">
        <f>IF(Form_Responses1[[#This Row],[hcvc]]="Không", 0, 1)</f>
        <v>0</v>
      </c>
      <c r="X133" s="1" t="s">
        <v>21</v>
      </c>
      <c r="Y133" s="6">
        <f>IF(Form_Responses1[[#This Row],[suy_ho_hap]]="Không", 0, 1)</f>
        <v>0</v>
      </c>
      <c r="Z133" s="1" t="s">
        <v>21</v>
      </c>
      <c r="AA133" s="6">
        <f>IF(Form_Responses1[[#This Row],[rung_nhi]]="Không", 0, 1)</f>
        <v>0</v>
      </c>
      <c r="AB133" s="1" t="s">
        <v>21</v>
      </c>
      <c r="AC133" s="6">
        <v>480</v>
      </c>
      <c r="AD133" s="6">
        <v>0.12</v>
      </c>
      <c r="AE133" s="6">
        <v>4.05</v>
      </c>
      <c r="AF133" s="6">
        <v>118</v>
      </c>
      <c r="AG133" s="6">
        <v>168</v>
      </c>
      <c r="AH133" s="6">
        <v>132</v>
      </c>
      <c r="AI133" s="6">
        <v>3.5</v>
      </c>
      <c r="AJ133" s="6">
        <v>21</v>
      </c>
      <c r="AK133" s="6">
        <v>1.02</v>
      </c>
      <c r="AL133" s="1" t="s">
        <v>21</v>
      </c>
      <c r="AM133" s="1">
        <v>1534.98</v>
      </c>
      <c r="AN133" s="6">
        <f>IF(Form_Responses1[[#This Row],[NT_proBNP &gt; 35000]]="Có", 35001, Form_Responses1[[#This Row],[NT_ProBNP]])</f>
        <v>1534.98</v>
      </c>
      <c r="AO133" s="6">
        <f>IF(Form_Responses1[[#This Row],[NT_proBNP &gt; 35000]]="Có", 1, 0)</f>
        <v>0</v>
      </c>
      <c r="AP133" s="6">
        <v>62.84</v>
      </c>
      <c r="AQ133" s="6">
        <v>31</v>
      </c>
      <c r="AR133" s="6">
        <v>13</v>
      </c>
      <c r="AS133" s="6">
        <v>88</v>
      </c>
      <c r="AT133" s="27">
        <v>65</v>
      </c>
      <c r="AU133" s="6">
        <v>46</v>
      </c>
      <c r="AV133" s="6">
        <v>52</v>
      </c>
      <c r="AW133" s="6">
        <v>35</v>
      </c>
      <c r="AX133" s="6">
        <v>33</v>
      </c>
      <c r="AY133" s="24">
        <f>IF(Form_Responses1[[#This Row],[ket_cuc]]="Không tử vong", 0, 1)</f>
        <v>0</v>
      </c>
      <c r="AZ133" s="1" t="s">
        <v>24</v>
      </c>
      <c r="BA133" s="32">
        <v>35</v>
      </c>
      <c r="BB133" s="32">
        <v>4.1991074940034193E-2</v>
      </c>
    </row>
    <row r="134" spans="1:54" ht="13" x14ac:dyDescent="0.15">
      <c r="A134" s="2" t="s">
        <v>38</v>
      </c>
      <c r="B134" s="15">
        <v>49</v>
      </c>
      <c r="C134" s="15">
        <f>IF(Form_Responses1[[#This Row],[gioi_tinh]]="Nữ", 0, 1)</f>
        <v>1</v>
      </c>
      <c r="D134" s="2" t="s">
        <v>26</v>
      </c>
      <c r="E134" s="15">
        <v>20.100000000000001</v>
      </c>
      <c r="F134" s="15">
        <f>IF(Form_Responses1[[#This Row],[dai_thao_duong]]="Không", 0, 1)</f>
        <v>0</v>
      </c>
      <c r="G134" s="2" t="s">
        <v>21</v>
      </c>
      <c r="H134" s="15">
        <f t="shared" si="4"/>
        <v>0</v>
      </c>
      <c r="I134" s="2" t="s">
        <v>21</v>
      </c>
      <c r="J134" s="15">
        <f>IF(Form_Responses1[[#This Row],[hoi_chung_vanh_man]]="Không", 0, 1)</f>
        <v>0</v>
      </c>
      <c r="K134" s="2" t="s">
        <v>21</v>
      </c>
      <c r="L134" s="15">
        <f>IF(Form_Responses1[[#This Row],[ckd]]="Không", 0, 1)</f>
        <v>0</v>
      </c>
      <c r="M134" s="2" t="s">
        <v>21</v>
      </c>
      <c r="N134" s="15">
        <f t="shared" si="5"/>
        <v>0</v>
      </c>
      <c r="O134" s="2" t="s">
        <v>21</v>
      </c>
      <c r="P134" s="15">
        <f>IF(Form_Responses1[[#This Row],[phan_loai_the_lam_sang]]="Suy tim mất bù cấp", 1,0)</f>
        <v>1</v>
      </c>
      <c r="Q134" s="15">
        <f>IF(Form_Responses1[[#This Row],[phan_loai_the_lam_sang]]="Phù phổi cấp", 1, 0)</f>
        <v>0</v>
      </c>
      <c r="R134" s="15">
        <f>IF(Form_Responses1[[#This Row],[phan_loai_the_lam_sang]]="Choáng tim", 1, 0)</f>
        <v>0</v>
      </c>
      <c r="S134" s="2" t="s">
        <v>23</v>
      </c>
      <c r="T134" s="15">
        <v>96</v>
      </c>
      <c r="U134" s="15">
        <v>90</v>
      </c>
      <c r="V134" s="15">
        <v>60</v>
      </c>
      <c r="W134" s="15">
        <f>IF(Form_Responses1[[#This Row],[hcvc]]="Không", 0, 1)</f>
        <v>0</v>
      </c>
      <c r="X134" s="2" t="s">
        <v>21</v>
      </c>
      <c r="Y134" s="15">
        <f>IF(Form_Responses1[[#This Row],[suy_ho_hap]]="Không", 0, 1)</f>
        <v>0</v>
      </c>
      <c r="Z134" s="2" t="s">
        <v>21</v>
      </c>
      <c r="AA134" s="15">
        <f>IF(Form_Responses1[[#This Row],[rung_nhi]]="Không", 0, 1)</f>
        <v>1</v>
      </c>
      <c r="AB134" s="2" t="s">
        <v>22</v>
      </c>
      <c r="AC134" s="15">
        <v>447</v>
      </c>
      <c r="AD134" s="15">
        <v>0.08</v>
      </c>
      <c r="AE134" s="15">
        <v>7.9</v>
      </c>
      <c r="AF134" s="15">
        <v>137</v>
      </c>
      <c r="AG134" s="15">
        <v>344</v>
      </c>
      <c r="AH134" s="15">
        <v>135</v>
      </c>
      <c r="AI134" s="15">
        <v>3.7</v>
      </c>
      <c r="AJ134" s="15">
        <v>26</v>
      </c>
      <c r="AK134" s="15">
        <v>1.24</v>
      </c>
      <c r="AL134" s="2" t="s">
        <v>21</v>
      </c>
      <c r="AM134" s="28">
        <v>2970</v>
      </c>
      <c r="AN134" s="6">
        <f>IF(Form_Responses1[[#This Row],[NT_proBNP &gt; 35000]]="Có", 35001, Form_Responses1[[#This Row],[NT_ProBNP]])</f>
        <v>2970</v>
      </c>
      <c r="AO134" s="27">
        <f>IF(Form_Responses1[[#This Row],[NT_proBNP &gt; 35000]]="Có", 1, 0)</f>
        <v>0</v>
      </c>
      <c r="AP134" s="15">
        <v>127</v>
      </c>
      <c r="AQ134" s="15">
        <v>47</v>
      </c>
      <c r="AR134" s="15">
        <v>73</v>
      </c>
      <c r="AS134" s="27">
        <v>88</v>
      </c>
      <c r="AT134" s="15">
        <v>63</v>
      </c>
      <c r="AU134" s="27">
        <v>56</v>
      </c>
      <c r="AV134" s="15">
        <v>68</v>
      </c>
      <c r="AW134" s="15">
        <v>35</v>
      </c>
      <c r="AX134" s="15">
        <v>35</v>
      </c>
      <c r="AY134" s="22">
        <f>IF(Form_Responses1[[#This Row],[ket_cuc]]="Không tử vong", 0, 1)</f>
        <v>0</v>
      </c>
      <c r="AZ134" s="2" t="s">
        <v>24</v>
      </c>
      <c r="BA134" s="32">
        <v>43</v>
      </c>
      <c r="BB134" s="32">
        <v>6.5865847519336426E-2</v>
      </c>
    </row>
    <row r="135" spans="1:54" ht="13" x14ac:dyDescent="0.15">
      <c r="A135" s="1" t="s">
        <v>221</v>
      </c>
      <c r="B135" s="6">
        <v>83</v>
      </c>
      <c r="C135" s="6">
        <f>IF(Form_Responses1[[#This Row],[gioi_tinh]]="Nữ", 0, 1)</f>
        <v>0</v>
      </c>
      <c r="D135" s="1" t="s">
        <v>20</v>
      </c>
      <c r="E135" s="6">
        <v>22</v>
      </c>
      <c r="F135" s="6">
        <f>IF(Form_Responses1[[#This Row],[dai_thao_duong]]="Không", 0, 1)</f>
        <v>0</v>
      </c>
      <c r="G135" s="1" t="s">
        <v>21</v>
      </c>
      <c r="H135" s="6">
        <f t="shared" si="4"/>
        <v>1</v>
      </c>
      <c r="I135" s="1" t="s">
        <v>22</v>
      </c>
      <c r="J135" s="6">
        <f>IF(Form_Responses1[[#This Row],[hoi_chung_vanh_man]]="Không", 0, 1)</f>
        <v>1</v>
      </c>
      <c r="K135" s="1" t="s">
        <v>22</v>
      </c>
      <c r="L135" s="6">
        <f>IF(Form_Responses1[[#This Row],[ckd]]="Không", 0, 1)</f>
        <v>1</v>
      </c>
      <c r="M135" s="1" t="s">
        <v>22</v>
      </c>
      <c r="N135" s="6">
        <f t="shared" si="5"/>
        <v>0</v>
      </c>
      <c r="O135" s="1" t="s">
        <v>21</v>
      </c>
      <c r="P135" s="6">
        <f>IF(Form_Responses1[[#This Row],[phan_loai_the_lam_sang]]="Suy tim mất bù cấp", 1,0)</f>
        <v>1</v>
      </c>
      <c r="Q135" s="6">
        <f>IF(Form_Responses1[[#This Row],[phan_loai_the_lam_sang]]="Phù phổi cấp", 1, 0)</f>
        <v>0</v>
      </c>
      <c r="R135" s="6">
        <f>IF(Form_Responses1[[#This Row],[phan_loai_the_lam_sang]]="Choáng tim", 1, 0)</f>
        <v>0</v>
      </c>
      <c r="S135" s="1" t="s">
        <v>23</v>
      </c>
      <c r="T135" s="6">
        <v>87</v>
      </c>
      <c r="U135" s="6">
        <v>130</v>
      </c>
      <c r="V135" s="6">
        <v>80</v>
      </c>
      <c r="W135" s="6">
        <f>IF(Form_Responses1[[#This Row],[hcvc]]="Không", 0, 1)</f>
        <v>1</v>
      </c>
      <c r="X135" s="1" t="s">
        <v>22</v>
      </c>
      <c r="Y135" s="6">
        <f>IF(Form_Responses1[[#This Row],[suy_ho_hap]]="Không", 0, 1)</f>
        <v>1</v>
      </c>
      <c r="Z135" s="1" t="s">
        <v>22</v>
      </c>
      <c r="AA135" s="6">
        <f>IF(Form_Responses1[[#This Row],[rung_nhi]]="Không", 0, 1)</f>
        <v>0</v>
      </c>
      <c r="AB135" s="1" t="s">
        <v>21</v>
      </c>
      <c r="AC135" s="6">
        <v>448</v>
      </c>
      <c r="AD135" s="6">
        <v>0.06</v>
      </c>
      <c r="AE135" s="6">
        <v>13.9</v>
      </c>
      <c r="AF135" s="6">
        <v>161</v>
      </c>
      <c r="AG135" s="6">
        <v>136</v>
      </c>
      <c r="AH135" s="6">
        <v>141</v>
      </c>
      <c r="AI135" s="6">
        <v>3.6</v>
      </c>
      <c r="AJ135" s="6">
        <v>36</v>
      </c>
      <c r="AK135" s="6">
        <v>1.27</v>
      </c>
      <c r="AL135" s="1" t="s">
        <v>21</v>
      </c>
      <c r="AM135" s="1">
        <v>17776</v>
      </c>
      <c r="AN135" s="6">
        <f>IF(Form_Responses1[[#This Row],[NT_proBNP &gt; 35000]]="Có", 35001, Form_Responses1[[#This Row],[NT_ProBNP]])</f>
        <v>17776</v>
      </c>
      <c r="AO135" s="6">
        <f>IF(Form_Responses1[[#This Row],[NT_proBNP &gt; 35000]]="Có", 1, 0)</f>
        <v>0</v>
      </c>
      <c r="AP135" s="6">
        <v>1513.15</v>
      </c>
      <c r="AQ135" s="6">
        <v>18</v>
      </c>
      <c r="AR135" s="6">
        <v>8</v>
      </c>
      <c r="AS135" s="6">
        <v>155</v>
      </c>
      <c r="AT135" s="27">
        <v>47.9</v>
      </c>
      <c r="AU135" s="6">
        <v>46.6</v>
      </c>
      <c r="AV135" s="6">
        <v>53.8</v>
      </c>
      <c r="AW135" s="6">
        <v>35</v>
      </c>
      <c r="AX135" s="6"/>
      <c r="AY135" s="24">
        <f>IF(Form_Responses1[[#This Row],[ket_cuc]]="Không tử vong", 0, 1)</f>
        <v>0</v>
      </c>
      <c r="AZ135" s="1" t="s">
        <v>24</v>
      </c>
      <c r="BA135" s="32">
        <v>44</v>
      </c>
      <c r="BB135" s="32">
        <v>0.12317514257806922</v>
      </c>
    </row>
    <row r="136" spans="1:54" ht="13" x14ac:dyDescent="0.15">
      <c r="A136" s="2" t="s">
        <v>125</v>
      </c>
      <c r="B136" s="15">
        <v>43</v>
      </c>
      <c r="C136" s="15">
        <f>IF(Form_Responses1[[#This Row],[gioi_tinh]]="Nữ", 0, 1)</f>
        <v>1</v>
      </c>
      <c r="D136" s="2" t="s">
        <v>26</v>
      </c>
      <c r="E136" s="15">
        <v>21.6</v>
      </c>
      <c r="F136" s="15">
        <f>IF(Form_Responses1[[#This Row],[dai_thao_duong]]="Không", 0, 1)</f>
        <v>0</v>
      </c>
      <c r="G136" s="2" t="s">
        <v>21</v>
      </c>
      <c r="H136" s="15">
        <f t="shared" si="4"/>
        <v>0</v>
      </c>
      <c r="I136" s="2" t="s">
        <v>21</v>
      </c>
      <c r="J136" s="15">
        <f>IF(Form_Responses1[[#This Row],[hoi_chung_vanh_man]]="Không", 0, 1)</f>
        <v>0</v>
      </c>
      <c r="K136" s="2" t="s">
        <v>21</v>
      </c>
      <c r="L136" s="15">
        <f>IF(Form_Responses1[[#This Row],[ckd]]="Không", 0, 1)</f>
        <v>0</v>
      </c>
      <c r="M136" s="2" t="s">
        <v>21</v>
      </c>
      <c r="N136" s="15">
        <f t="shared" si="5"/>
        <v>0</v>
      </c>
      <c r="O136" s="2" t="s">
        <v>21</v>
      </c>
      <c r="P136" s="15">
        <f>IF(Form_Responses1[[#This Row],[phan_loai_the_lam_sang]]="Suy tim mất bù cấp", 1,0)</f>
        <v>1</v>
      </c>
      <c r="Q136" s="15">
        <f>IF(Form_Responses1[[#This Row],[phan_loai_the_lam_sang]]="Phù phổi cấp", 1, 0)</f>
        <v>0</v>
      </c>
      <c r="R136" s="15">
        <f>IF(Form_Responses1[[#This Row],[phan_loai_the_lam_sang]]="Choáng tim", 1, 0)</f>
        <v>0</v>
      </c>
      <c r="S136" s="2" t="s">
        <v>23</v>
      </c>
      <c r="T136" s="15">
        <v>100</v>
      </c>
      <c r="U136" s="15">
        <v>130</v>
      </c>
      <c r="V136" s="15">
        <v>90</v>
      </c>
      <c r="W136" s="15">
        <f>IF(Form_Responses1[[#This Row],[hcvc]]="Không", 0, 1)</f>
        <v>1</v>
      </c>
      <c r="X136" s="2" t="s">
        <v>22</v>
      </c>
      <c r="Y136" s="15">
        <f>IF(Form_Responses1[[#This Row],[suy_ho_hap]]="Không", 0, 1)</f>
        <v>0</v>
      </c>
      <c r="Z136" s="2" t="s">
        <v>21</v>
      </c>
      <c r="AA136" s="15">
        <f>IF(Form_Responses1[[#This Row],[rung_nhi]]="Không", 0, 1)</f>
        <v>0</v>
      </c>
      <c r="AB136" s="2" t="s">
        <v>21</v>
      </c>
      <c r="AC136" s="15">
        <v>377</v>
      </c>
      <c r="AD136" s="15">
        <v>0.1</v>
      </c>
      <c r="AE136" s="15">
        <v>19.79</v>
      </c>
      <c r="AF136" s="15">
        <v>133</v>
      </c>
      <c r="AG136" s="15">
        <v>371</v>
      </c>
      <c r="AH136" s="15">
        <v>139</v>
      </c>
      <c r="AI136" s="15">
        <v>3.7</v>
      </c>
      <c r="AJ136" s="15">
        <v>20</v>
      </c>
      <c r="AK136" s="15">
        <v>0.78</v>
      </c>
      <c r="AL136" s="2" t="s">
        <v>21</v>
      </c>
      <c r="AM136" s="28">
        <v>3695.4</v>
      </c>
      <c r="AN136" s="6">
        <f>IF(Form_Responses1[[#This Row],[NT_proBNP &gt; 35000]]="Có", 35001, Form_Responses1[[#This Row],[NT_ProBNP]])</f>
        <v>3695.4</v>
      </c>
      <c r="AO136" s="27">
        <f>IF(Form_Responses1[[#This Row],[NT_proBNP &gt; 35000]]="Có", 1, 0)</f>
        <v>0</v>
      </c>
      <c r="AP136" s="15">
        <v>22611</v>
      </c>
      <c r="AQ136" s="15">
        <v>85</v>
      </c>
      <c r="AR136" s="15">
        <v>118</v>
      </c>
      <c r="AS136" s="15">
        <v>117</v>
      </c>
      <c r="AT136" s="15">
        <v>42</v>
      </c>
      <c r="AU136" s="15">
        <v>47</v>
      </c>
      <c r="AV136" s="15">
        <v>58</v>
      </c>
      <c r="AW136" s="15">
        <v>35</v>
      </c>
      <c r="AX136" s="15">
        <v>30</v>
      </c>
      <c r="AY136" s="22">
        <f>IF(Form_Responses1[[#This Row],[ket_cuc]]="Không tử vong", 0, 1)</f>
        <v>0</v>
      </c>
      <c r="AZ136" s="2" t="s">
        <v>24</v>
      </c>
      <c r="BA136" s="32">
        <v>34</v>
      </c>
      <c r="BB136" s="32">
        <v>3.0014515276057335E-2</v>
      </c>
    </row>
    <row r="137" spans="1:54" ht="13" x14ac:dyDescent="0.15">
      <c r="A137" s="1" t="s">
        <v>40</v>
      </c>
      <c r="B137" s="6">
        <v>53</v>
      </c>
      <c r="C137" s="6">
        <f>IF(Form_Responses1[[#This Row],[gioi_tinh]]="Nữ", 0, 1)</f>
        <v>1</v>
      </c>
      <c r="D137" s="1" t="s">
        <v>26</v>
      </c>
      <c r="E137" s="6">
        <v>21.8</v>
      </c>
      <c r="F137" s="6">
        <f>IF(Form_Responses1[[#This Row],[dai_thao_duong]]="Không", 0, 1)</f>
        <v>0</v>
      </c>
      <c r="G137" s="1" t="s">
        <v>21</v>
      </c>
      <c r="H137" s="6">
        <f t="shared" si="4"/>
        <v>0</v>
      </c>
      <c r="I137" s="1" t="s">
        <v>21</v>
      </c>
      <c r="J137" s="6">
        <f>IF(Form_Responses1[[#This Row],[hoi_chung_vanh_man]]="Không", 0, 1)</f>
        <v>1</v>
      </c>
      <c r="K137" s="1" t="s">
        <v>22</v>
      </c>
      <c r="L137" s="6">
        <f>IF(Form_Responses1[[#This Row],[ckd]]="Không", 0, 1)</f>
        <v>0</v>
      </c>
      <c r="M137" s="1" t="s">
        <v>21</v>
      </c>
      <c r="N137" s="6">
        <f t="shared" si="5"/>
        <v>0</v>
      </c>
      <c r="O137" s="1" t="s">
        <v>21</v>
      </c>
      <c r="P137" s="6">
        <f>IF(Form_Responses1[[#This Row],[phan_loai_the_lam_sang]]="Suy tim mất bù cấp", 1,0)</f>
        <v>0</v>
      </c>
      <c r="Q137" s="6">
        <f>IF(Form_Responses1[[#This Row],[phan_loai_the_lam_sang]]="Phù phổi cấp", 1, 0)</f>
        <v>0</v>
      </c>
      <c r="R137" s="6">
        <f>IF(Form_Responses1[[#This Row],[phan_loai_the_lam_sang]]="Choáng tim", 1, 0)</f>
        <v>1</v>
      </c>
      <c r="S137" s="1" t="s">
        <v>28</v>
      </c>
      <c r="T137" s="6">
        <v>102</v>
      </c>
      <c r="U137" s="6">
        <v>100</v>
      </c>
      <c r="V137" s="6">
        <v>60</v>
      </c>
      <c r="W137" s="6">
        <f>IF(Form_Responses1[[#This Row],[hcvc]]="Không", 0, 1)</f>
        <v>1</v>
      </c>
      <c r="X137" s="1" t="s">
        <v>22</v>
      </c>
      <c r="Y137" s="6">
        <f>IF(Form_Responses1[[#This Row],[suy_ho_hap]]="Không", 0, 1)</f>
        <v>1</v>
      </c>
      <c r="Z137" s="1" t="s">
        <v>22</v>
      </c>
      <c r="AA137" s="6">
        <f>IF(Form_Responses1[[#This Row],[rung_nhi]]="Không", 0, 1)</f>
        <v>0</v>
      </c>
      <c r="AB137" s="11" t="s">
        <v>21</v>
      </c>
      <c r="AC137" s="6">
        <v>374</v>
      </c>
      <c r="AD137" s="6">
        <v>0.1</v>
      </c>
      <c r="AE137" s="6">
        <v>27.1</v>
      </c>
      <c r="AF137" s="6">
        <v>156</v>
      </c>
      <c r="AG137" s="6">
        <v>433</v>
      </c>
      <c r="AH137" s="6">
        <v>137</v>
      </c>
      <c r="AI137" s="6">
        <v>4.5</v>
      </c>
      <c r="AJ137" s="6">
        <v>20</v>
      </c>
      <c r="AK137" s="6">
        <v>1.82</v>
      </c>
      <c r="AL137" s="1" t="s">
        <v>21</v>
      </c>
      <c r="AM137" s="1">
        <v>11972</v>
      </c>
      <c r="AN137" s="6">
        <f>IF(Form_Responses1[[#This Row],[NT_proBNP &gt; 35000]]="Có", 35001, Form_Responses1[[#This Row],[NT_ProBNP]])</f>
        <v>11972</v>
      </c>
      <c r="AO137" s="6">
        <f>IF(Form_Responses1[[#This Row],[NT_proBNP &gt; 35000]]="Có", 1, 0)</f>
        <v>0</v>
      </c>
      <c r="AP137" s="6">
        <v>1542.87</v>
      </c>
      <c r="AQ137" s="6">
        <v>57</v>
      </c>
      <c r="AR137" s="6">
        <v>27</v>
      </c>
      <c r="AS137" s="6">
        <v>182</v>
      </c>
      <c r="AT137" s="6">
        <v>45.5</v>
      </c>
      <c r="AU137" s="6">
        <v>49.1</v>
      </c>
      <c r="AV137" s="6">
        <v>54.7</v>
      </c>
      <c r="AW137" s="6">
        <v>35</v>
      </c>
      <c r="AX137" s="27">
        <v>55</v>
      </c>
      <c r="AY137" s="29">
        <f>IF(Form_Responses1[[#This Row],[ket_cuc]]="Không tử vong", 0, 1)</f>
        <v>0</v>
      </c>
      <c r="AZ137" s="1" t="s">
        <v>24</v>
      </c>
      <c r="BA137" s="32">
        <v>44</v>
      </c>
      <c r="BB137" s="32">
        <v>7.0083982850742549E-2</v>
      </c>
    </row>
    <row r="138" spans="1:54" ht="13" x14ac:dyDescent="0.15">
      <c r="A138" s="2" t="s">
        <v>142</v>
      </c>
      <c r="B138" s="15">
        <v>37</v>
      </c>
      <c r="C138" s="15">
        <f>IF(Form_Responses1[[#This Row],[gioi_tinh]]="Nữ", 0, 1)</f>
        <v>1</v>
      </c>
      <c r="D138" s="2" t="s">
        <v>26</v>
      </c>
      <c r="E138" s="15">
        <v>19.5</v>
      </c>
      <c r="F138" s="15">
        <f>IF(Form_Responses1[[#This Row],[dai_thao_duong]]="Không", 0, 1)</f>
        <v>0</v>
      </c>
      <c r="G138" s="2" t="s">
        <v>21</v>
      </c>
      <c r="H138" s="15">
        <f t="shared" si="4"/>
        <v>0</v>
      </c>
      <c r="I138" s="2" t="s">
        <v>21</v>
      </c>
      <c r="J138" s="15">
        <f>IF(Form_Responses1[[#This Row],[hoi_chung_vanh_man]]="Không", 0, 1)</f>
        <v>0</v>
      </c>
      <c r="K138" s="2" t="s">
        <v>21</v>
      </c>
      <c r="L138" s="15">
        <f>IF(Form_Responses1[[#This Row],[ckd]]="Không", 0, 1)</f>
        <v>0</v>
      </c>
      <c r="M138" s="2" t="s">
        <v>21</v>
      </c>
      <c r="N138" s="15">
        <f t="shared" si="5"/>
        <v>0</v>
      </c>
      <c r="O138" s="2" t="s">
        <v>21</v>
      </c>
      <c r="P138" s="15">
        <f>IF(Form_Responses1[[#This Row],[phan_loai_the_lam_sang]]="Suy tim mất bù cấp", 1,0)</f>
        <v>0</v>
      </c>
      <c r="Q138" s="15">
        <f>IF(Form_Responses1[[#This Row],[phan_loai_the_lam_sang]]="Phù phổi cấp", 1, 0)</f>
        <v>0</v>
      </c>
      <c r="R138" s="15">
        <f>IF(Form_Responses1[[#This Row],[phan_loai_the_lam_sang]]="Choáng tim", 1, 0)</f>
        <v>1</v>
      </c>
      <c r="S138" s="2" t="s">
        <v>28</v>
      </c>
      <c r="T138" s="15">
        <v>51</v>
      </c>
      <c r="U138" s="15">
        <v>100</v>
      </c>
      <c r="V138" s="15">
        <v>60</v>
      </c>
      <c r="W138" s="15">
        <f>IF(Form_Responses1[[#This Row],[hcvc]]="Không", 0, 1)</f>
        <v>1</v>
      </c>
      <c r="X138" s="2" t="s">
        <v>22</v>
      </c>
      <c r="Y138" s="15">
        <f>IF(Form_Responses1[[#This Row],[suy_ho_hap]]="Không", 0, 1)</f>
        <v>1</v>
      </c>
      <c r="Z138" s="2" t="s">
        <v>22</v>
      </c>
      <c r="AA138" s="15">
        <f>IF(Form_Responses1[[#This Row],[rung_nhi]]="Không", 0, 1)</f>
        <v>0</v>
      </c>
      <c r="AB138" s="2" t="s">
        <v>21</v>
      </c>
      <c r="AC138" s="15">
        <v>424</v>
      </c>
      <c r="AD138" s="15">
        <v>0.16</v>
      </c>
      <c r="AE138" s="15">
        <v>23.6</v>
      </c>
      <c r="AF138" s="15">
        <v>142</v>
      </c>
      <c r="AG138" s="15">
        <v>352</v>
      </c>
      <c r="AH138" s="15">
        <v>140</v>
      </c>
      <c r="AI138" s="15">
        <v>3.5</v>
      </c>
      <c r="AJ138" s="15">
        <v>7.5</v>
      </c>
      <c r="AK138" s="15">
        <v>0.9</v>
      </c>
      <c r="AL138" s="2" t="s">
        <v>21</v>
      </c>
      <c r="AM138" s="2">
        <v>5466.8</v>
      </c>
      <c r="AN138" s="6">
        <f>IF(Form_Responses1[[#This Row],[NT_proBNP &gt; 35000]]="Có", 35001, Form_Responses1[[#This Row],[NT_ProBNP]])</f>
        <v>5466.8</v>
      </c>
      <c r="AO138" s="15">
        <f>IF(Form_Responses1[[#This Row],[NT_proBNP &gt; 35000]]="Có", 1, 0)</f>
        <v>0</v>
      </c>
      <c r="AP138" s="15">
        <v>4517.8</v>
      </c>
      <c r="AQ138" s="15">
        <v>45</v>
      </c>
      <c r="AR138" s="15">
        <v>43</v>
      </c>
      <c r="AS138" s="15">
        <v>321</v>
      </c>
      <c r="AT138" s="27">
        <v>26.1</v>
      </c>
      <c r="AU138" s="15">
        <v>35.1</v>
      </c>
      <c r="AV138" s="15">
        <v>46.5</v>
      </c>
      <c r="AW138" s="15">
        <v>35</v>
      </c>
      <c r="AX138" s="18"/>
      <c r="AY138" s="26">
        <f>IF(Form_Responses1[[#This Row],[ket_cuc]]="Không tử vong", 0, 1)</f>
        <v>1</v>
      </c>
      <c r="AZ138" s="2" t="s">
        <v>29</v>
      </c>
      <c r="BA138" s="32">
        <v>28</v>
      </c>
      <c r="BB138" s="32">
        <v>1.8355499448735636E-2</v>
      </c>
    </row>
    <row r="139" spans="1:54" ht="13" x14ac:dyDescent="0.15">
      <c r="A139" s="1" t="s">
        <v>268</v>
      </c>
      <c r="B139" s="6">
        <v>44</v>
      </c>
      <c r="C139" s="6">
        <f>IF(Form_Responses1[[#This Row],[gioi_tinh]]="Nữ", 0, 1)</f>
        <v>0</v>
      </c>
      <c r="D139" s="1" t="s">
        <v>20</v>
      </c>
      <c r="E139" s="6">
        <v>25</v>
      </c>
      <c r="F139" s="6">
        <f>IF(Form_Responses1[[#This Row],[dai_thao_duong]]="Không", 0, 1)</f>
        <v>0</v>
      </c>
      <c r="G139" s="1" t="s">
        <v>21</v>
      </c>
      <c r="H139" s="6">
        <f t="shared" si="4"/>
        <v>0</v>
      </c>
      <c r="I139" s="1" t="s">
        <v>21</v>
      </c>
      <c r="J139" s="6">
        <f>IF(Form_Responses1[[#This Row],[hoi_chung_vanh_man]]="Không", 0, 1)</f>
        <v>0</v>
      </c>
      <c r="K139" s="1" t="s">
        <v>21</v>
      </c>
      <c r="L139" s="6">
        <f>IF(Form_Responses1[[#This Row],[ckd]]="Không", 0, 1)</f>
        <v>0</v>
      </c>
      <c r="M139" s="1" t="s">
        <v>21</v>
      </c>
      <c r="N139" s="6">
        <f t="shared" si="5"/>
        <v>0</v>
      </c>
      <c r="O139" s="1" t="s">
        <v>21</v>
      </c>
      <c r="P139" s="6">
        <f>IF(Form_Responses1[[#This Row],[phan_loai_the_lam_sang]]="Suy tim mất bù cấp", 1,0)</f>
        <v>0</v>
      </c>
      <c r="Q139" s="6">
        <f>IF(Form_Responses1[[#This Row],[phan_loai_the_lam_sang]]="Phù phổi cấp", 1, 0)</f>
        <v>1</v>
      </c>
      <c r="R139" s="6">
        <f>IF(Form_Responses1[[#This Row],[phan_loai_the_lam_sang]]="Choáng tim", 1, 0)</f>
        <v>0</v>
      </c>
      <c r="S139" s="1" t="s">
        <v>45</v>
      </c>
      <c r="T139" s="6">
        <v>110</v>
      </c>
      <c r="U139" s="6">
        <v>120</v>
      </c>
      <c r="V139" s="6">
        <v>70</v>
      </c>
      <c r="W139" s="6">
        <f>IF(Form_Responses1[[#This Row],[hcvc]]="Không", 0, 1)</f>
        <v>0</v>
      </c>
      <c r="X139" s="1" t="s">
        <v>21</v>
      </c>
      <c r="Y139" s="6">
        <f>IF(Form_Responses1[[#This Row],[suy_ho_hap]]="Không", 0, 1)</f>
        <v>1</v>
      </c>
      <c r="Z139" s="1" t="s">
        <v>22</v>
      </c>
      <c r="AA139" s="6">
        <f>IF(Form_Responses1[[#This Row],[rung_nhi]]="Không", 0, 1)</f>
        <v>0</v>
      </c>
      <c r="AB139" s="1" t="s">
        <v>21</v>
      </c>
      <c r="AC139" s="6">
        <v>508</v>
      </c>
      <c r="AD139" s="6">
        <v>0.08</v>
      </c>
      <c r="AE139" s="6">
        <v>12.58</v>
      </c>
      <c r="AF139" s="6">
        <v>137</v>
      </c>
      <c r="AG139" s="6">
        <v>305</v>
      </c>
      <c r="AH139" s="6">
        <v>139</v>
      </c>
      <c r="AI139" s="6">
        <v>3.2</v>
      </c>
      <c r="AJ139" s="6">
        <v>4.7</v>
      </c>
      <c r="AK139" s="6">
        <v>0.49</v>
      </c>
      <c r="AL139" s="1" t="s">
        <v>21</v>
      </c>
      <c r="AM139" s="1">
        <v>1297.8499999999999</v>
      </c>
      <c r="AN139" s="6">
        <f>IF(Form_Responses1[[#This Row],[NT_proBNP &gt; 35000]]="Có", 35001, Form_Responses1[[#This Row],[NT_ProBNP]])</f>
        <v>1297.8499999999999</v>
      </c>
      <c r="AO139" s="6">
        <f>IF(Form_Responses1[[#This Row],[NT_proBNP &gt; 35000]]="Có", 1, 0)</f>
        <v>0</v>
      </c>
      <c r="AP139" s="6">
        <v>11.5</v>
      </c>
      <c r="AQ139" s="6">
        <v>40</v>
      </c>
      <c r="AR139" s="6">
        <v>53</v>
      </c>
      <c r="AS139" s="6">
        <v>91</v>
      </c>
      <c r="AT139" s="6">
        <v>34.799999999999997</v>
      </c>
      <c r="AU139" s="6">
        <v>58.3</v>
      </c>
      <c r="AV139" s="6">
        <v>64.5</v>
      </c>
      <c r="AW139" s="6">
        <v>34</v>
      </c>
      <c r="AX139" s="13"/>
      <c r="AY139" s="23">
        <f>IF(Form_Responses1[[#This Row],[ket_cuc]]="Không tử vong", 0, 1)</f>
        <v>0</v>
      </c>
      <c r="AZ139" s="1" t="s">
        <v>24</v>
      </c>
      <c r="BA139" s="32">
        <v>34</v>
      </c>
      <c r="BB139" s="32">
        <v>3.7106166192526928E-2</v>
      </c>
    </row>
    <row r="140" spans="1:54" ht="13" x14ac:dyDescent="0.15">
      <c r="A140" s="1" t="s">
        <v>228</v>
      </c>
      <c r="B140" s="6">
        <v>28</v>
      </c>
      <c r="C140" s="6">
        <f>IF(Form_Responses1[[#This Row],[gioi_tinh]]="Nữ", 0, 1)</f>
        <v>1</v>
      </c>
      <c r="D140" s="1" t="s">
        <v>26</v>
      </c>
      <c r="E140" s="6">
        <v>31.3</v>
      </c>
      <c r="F140" s="6">
        <f>IF(Form_Responses1[[#This Row],[dai_thao_duong]]="Không", 0, 1)</f>
        <v>0</v>
      </c>
      <c r="G140" s="1" t="s">
        <v>21</v>
      </c>
      <c r="H140" s="6">
        <f t="shared" si="4"/>
        <v>0</v>
      </c>
      <c r="I140" s="1" t="s">
        <v>21</v>
      </c>
      <c r="J140" s="6">
        <f>IF(Form_Responses1[[#This Row],[hoi_chung_vanh_man]]="Không", 0, 1)</f>
        <v>0</v>
      </c>
      <c r="K140" s="1" t="s">
        <v>21</v>
      </c>
      <c r="L140" s="6">
        <f>IF(Form_Responses1[[#This Row],[ckd]]="Không", 0, 1)</f>
        <v>0</v>
      </c>
      <c r="M140" s="1" t="s">
        <v>21</v>
      </c>
      <c r="N140" s="6">
        <f t="shared" si="5"/>
        <v>0</v>
      </c>
      <c r="O140" s="1" t="s">
        <v>21</v>
      </c>
      <c r="P140" s="6">
        <f>IF(Form_Responses1[[#This Row],[phan_loai_the_lam_sang]]="Suy tim mất bù cấp", 1,0)</f>
        <v>1</v>
      </c>
      <c r="Q140" s="6">
        <f>IF(Form_Responses1[[#This Row],[phan_loai_the_lam_sang]]="Phù phổi cấp", 1, 0)</f>
        <v>0</v>
      </c>
      <c r="R140" s="6">
        <f>IF(Form_Responses1[[#This Row],[phan_loai_the_lam_sang]]="Choáng tim", 1, 0)</f>
        <v>0</v>
      </c>
      <c r="S140" s="1" t="s">
        <v>23</v>
      </c>
      <c r="T140" s="6">
        <v>90</v>
      </c>
      <c r="U140" s="6">
        <v>120</v>
      </c>
      <c r="V140" s="6">
        <v>80</v>
      </c>
      <c r="W140" s="6">
        <f>IF(Form_Responses1[[#This Row],[hcvc]]="Không", 0, 1)</f>
        <v>0</v>
      </c>
      <c r="X140" s="1" t="s">
        <v>21</v>
      </c>
      <c r="Y140" s="6">
        <f>IF(Form_Responses1[[#This Row],[suy_ho_hap]]="Không", 0, 1)</f>
        <v>0</v>
      </c>
      <c r="Z140" s="1" t="s">
        <v>21</v>
      </c>
      <c r="AA140" s="6">
        <f>IF(Form_Responses1[[#This Row],[rung_nhi]]="Không", 0, 1)</f>
        <v>0</v>
      </c>
      <c r="AB140" s="1" t="s">
        <v>21</v>
      </c>
      <c r="AC140" s="6">
        <v>461</v>
      </c>
      <c r="AD140" s="6">
        <v>7.0000000000000007E-2</v>
      </c>
      <c r="AE140" s="6">
        <v>8.34</v>
      </c>
      <c r="AF140" s="6">
        <v>78</v>
      </c>
      <c r="AG140" s="6">
        <v>288</v>
      </c>
      <c r="AH140" s="6">
        <v>135</v>
      </c>
      <c r="AI140" s="6">
        <v>3.2</v>
      </c>
      <c r="AJ140" s="6">
        <v>18</v>
      </c>
      <c r="AK140" s="6">
        <v>0.87</v>
      </c>
      <c r="AL140" s="1" t="s">
        <v>21</v>
      </c>
      <c r="AM140" s="28">
        <v>789.9</v>
      </c>
      <c r="AN140" s="6">
        <f>IF(Form_Responses1[[#This Row],[NT_proBNP &gt; 35000]]="Có", 35001, Form_Responses1[[#This Row],[NT_ProBNP]])</f>
        <v>789.9</v>
      </c>
      <c r="AO140" s="27">
        <f>IF(Form_Responses1[[#This Row],[NT_proBNP &gt; 35000]]="Có", 1, 0)</f>
        <v>0</v>
      </c>
      <c r="AP140" s="6">
        <v>22.4</v>
      </c>
      <c r="AQ140" s="27">
        <v>187</v>
      </c>
      <c r="AR140" s="27">
        <v>120</v>
      </c>
      <c r="AS140" s="30"/>
      <c r="AT140" s="6">
        <v>46</v>
      </c>
      <c r="AU140" s="6">
        <v>43</v>
      </c>
      <c r="AV140" s="6">
        <v>55</v>
      </c>
      <c r="AW140" s="6">
        <v>34</v>
      </c>
      <c r="AX140" s="6">
        <v>37</v>
      </c>
      <c r="AY140" s="24">
        <f>IF(Form_Responses1[[#This Row],[ket_cuc]]="Không tử vong", 0, 1)</f>
        <v>0</v>
      </c>
      <c r="AZ140" s="1" t="s">
        <v>24</v>
      </c>
      <c r="BA140" s="32">
        <v>29</v>
      </c>
      <c r="BB140" s="32">
        <v>2.0055352739667291E-2</v>
      </c>
    </row>
    <row r="141" spans="1:54" s="5" customFormat="1" ht="13" x14ac:dyDescent="0.15">
      <c r="A141" s="2" t="s">
        <v>256</v>
      </c>
      <c r="B141" s="15">
        <v>58</v>
      </c>
      <c r="C141" s="15">
        <f>IF(Form_Responses1[[#This Row],[gioi_tinh]]="Nữ", 0, 1)</f>
        <v>0</v>
      </c>
      <c r="D141" s="2" t="s">
        <v>20</v>
      </c>
      <c r="E141" s="15">
        <v>22.2</v>
      </c>
      <c r="F141" s="15">
        <f>IF(Form_Responses1[[#This Row],[dai_thao_duong]]="Không", 0, 1)</f>
        <v>0</v>
      </c>
      <c r="G141" s="2" t="s">
        <v>21</v>
      </c>
      <c r="H141" s="15">
        <f t="shared" si="4"/>
        <v>0</v>
      </c>
      <c r="I141" s="2" t="s">
        <v>21</v>
      </c>
      <c r="J141" s="15">
        <f>IF(Form_Responses1[[#This Row],[hoi_chung_vanh_man]]="Không", 0, 1)</f>
        <v>1</v>
      </c>
      <c r="K141" s="2" t="s">
        <v>22</v>
      </c>
      <c r="L141" s="15">
        <f>IF(Form_Responses1[[#This Row],[ckd]]="Không", 0, 1)</f>
        <v>1</v>
      </c>
      <c r="M141" s="2" t="s">
        <v>22</v>
      </c>
      <c r="N141" s="15">
        <f t="shared" si="5"/>
        <v>0</v>
      </c>
      <c r="O141" s="2" t="s">
        <v>21</v>
      </c>
      <c r="P141" s="15">
        <f>IF(Form_Responses1[[#This Row],[phan_loai_the_lam_sang]]="Suy tim mất bù cấp", 1,0)</f>
        <v>1</v>
      </c>
      <c r="Q141" s="15">
        <f>IF(Form_Responses1[[#This Row],[phan_loai_the_lam_sang]]="Phù phổi cấp", 1, 0)</f>
        <v>0</v>
      </c>
      <c r="R141" s="15">
        <f>IF(Form_Responses1[[#This Row],[phan_loai_the_lam_sang]]="Choáng tim", 1, 0)</f>
        <v>0</v>
      </c>
      <c r="S141" s="2" t="s">
        <v>23</v>
      </c>
      <c r="T141" s="15">
        <v>90</v>
      </c>
      <c r="U141" s="15">
        <v>110</v>
      </c>
      <c r="V141" s="15">
        <v>60</v>
      </c>
      <c r="W141" s="15">
        <f>IF(Form_Responses1[[#This Row],[hcvc]]="Không", 0, 1)</f>
        <v>0</v>
      </c>
      <c r="X141" s="2" t="s">
        <v>21</v>
      </c>
      <c r="Y141" s="15">
        <f>IF(Form_Responses1[[#This Row],[suy_ho_hap]]="Không", 0, 1)</f>
        <v>0</v>
      </c>
      <c r="Z141" s="2" t="s">
        <v>21</v>
      </c>
      <c r="AA141" s="15">
        <f>IF(Form_Responses1[[#This Row],[rung_nhi]]="Không", 0, 1)</f>
        <v>0</v>
      </c>
      <c r="AB141" s="2" t="s">
        <v>21</v>
      </c>
      <c r="AC141" s="15">
        <v>328</v>
      </c>
      <c r="AD141" s="15">
        <v>0.11</v>
      </c>
      <c r="AE141" s="15">
        <v>4.88</v>
      </c>
      <c r="AF141" s="15">
        <v>107</v>
      </c>
      <c r="AG141" s="15">
        <v>217</v>
      </c>
      <c r="AH141" s="15">
        <v>130</v>
      </c>
      <c r="AI141" s="15">
        <v>3.6</v>
      </c>
      <c r="AJ141" s="15">
        <v>22.9</v>
      </c>
      <c r="AK141" s="15">
        <v>2.04</v>
      </c>
      <c r="AL141" s="2" t="s">
        <v>21</v>
      </c>
      <c r="AM141" s="2">
        <v>9736</v>
      </c>
      <c r="AN141" s="6">
        <f>IF(Form_Responses1[[#This Row],[NT_proBNP &gt; 35000]]="Có", 35001, Form_Responses1[[#This Row],[NT_ProBNP]])</f>
        <v>9736</v>
      </c>
      <c r="AO141" s="15">
        <f>IF(Form_Responses1[[#This Row],[NT_proBNP &gt; 35000]]="Có", 1, 0)</f>
        <v>0</v>
      </c>
      <c r="AP141" s="15">
        <v>40.299999999999997</v>
      </c>
      <c r="AQ141" s="15">
        <v>72</v>
      </c>
      <c r="AR141" s="15">
        <v>62</v>
      </c>
      <c r="AS141" s="18">
        <v>97</v>
      </c>
      <c r="AT141" s="15">
        <v>47</v>
      </c>
      <c r="AU141" s="15">
        <v>57</v>
      </c>
      <c r="AV141" s="15">
        <v>63</v>
      </c>
      <c r="AW141" s="15">
        <v>34</v>
      </c>
      <c r="AX141" s="15">
        <v>50</v>
      </c>
      <c r="AY141" s="22">
        <f>IF(Form_Responses1[[#This Row],[ket_cuc]]="Không tử vong", 0, 1)</f>
        <v>0</v>
      </c>
      <c r="AZ141" s="2" t="s">
        <v>24</v>
      </c>
      <c r="BA141" s="32">
        <v>43</v>
      </c>
      <c r="BB141" s="32">
        <v>7.3296554791168547E-2</v>
      </c>
    </row>
    <row r="142" spans="1:54" ht="13" x14ac:dyDescent="0.15">
      <c r="A142" s="2" t="s">
        <v>55</v>
      </c>
      <c r="B142" s="15">
        <v>72</v>
      </c>
      <c r="C142" s="15">
        <f>IF(Form_Responses1[[#This Row],[gioi_tinh]]="Nữ", 0, 1)</f>
        <v>1</v>
      </c>
      <c r="D142" s="2" t="s">
        <v>26</v>
      </c>
      <c r="E142" s="15">
        <v>21.5</v>
      </c>
      <c r="F142" s="15">
        <f>IF(Form_Responses1[[#This Row],[dai_thao_duong]]="Không", 0, 1)</f>
        <v>1</v>
      </c>
      <c r="G142" s="2" t="s">
        <v>22</v>
      </c>
      <c r="H142" s="15">
        <f t="shared" si="4"/>
        <v>1</v>
      </c>
      <c r="I142" s="2" t="s">
        <v>22</v>
      </c>
      <c r="J142" s="15">
        <f>IF(Form_Responses1[[#This Row],[hoi_chung_vanh_man]]="Không", 0, 1)</f>
        <v>0</v>
      </c>
      <c r="K142" s="2" t="s">
        <v>21</v>
      </c>
      <c r="L142" s="15">
        <f>IF(Form_Responses1[[#This Row],[ckd]]="Không", 0, 1)</f>
        <v>0</v>
      </c>
      <c r="M142" s="2" t="s">
        <v>21</v>
      </c>
      <c r="N142" s="15">
        <f t="shared" si="5"/>
        <v>0</v>
      </c>
      <c r="O142" s="2" t="s">
        <v>21</v>
      </c>
      <c r="P142" s="15">
        <f>IF(Form_Responses1[[#This Row],[phan_loai_the_lam_sang]]="Suy tim mất bù cấp", 1,0)</f>
        <v>1</v>
      </c>
      <c r="Q142" s="15">
        <f>IF(Form_Responses1[[#This Row],[phan_loai_the_lam_sang]]="Phù phổi cấp", 1, 0)</f>
        <v>0</v>
      </c>
      <c r="R142" s="15">
        <f>IF(Form_Responses1[[#This Row],[phan_loai_the_lam_sang]]="Choáng tim", 1, 0)</f>
        <v>0</v>
      </c>
      <c r="S142" s="2" t="s">
        <v>23</v>
      </c>
      <c r="T142" s="15">
        <v>66</v>
      </c>
      <c r="U142" s="15">
        <v>110</v>
      </c>
      <c r="V142" s="15">
        <v>70</v>
      </c>
      <c r="W142" s="15">
        <f>IF(Form_Responses1[[#This Row],[hcvc]]="Không", 0, 1)</f>
        <v>0</v>
      </c>
      <c r="X142" s="2" t="s">
        <v>21</v>
      </c>
      <c r="Y142" s="15">
        <f>IF(Form_Responses1[[#This Row],[suy_ho_hap]]="Không", 0, 1)</f>
        <v>0</v>
      </c>
      <c r="Z142" s="2" t="s">
        <v>21</v>
      </c>
      <c r="AA142" s="15">
        <f>IF(Form_Responses1[[#This Row],[rung_nhi]]="Không", 0, 1)</f>
        <v>0</v>
      </c>
      <c r="AB142" s="2" t="s">
        <v>21</v>
      </c>
      <c r="AC142" s="15">
        <v>393</v>
      </c>
      <c r="AD142" s="15">
        <v>0.1</v>
      </c>
      <c r="AE142" s="15">
        <v>10.32</v>
      </c>
      <c r="AF142" s="15">
        <v>109</v>
      </c>
      <c r="AG142" s="15">
        <v>160</v>
      </c>
      <c r="AH142" s="15">
        <v>124</v>
      </c>
      <c r="AI142" s="15">
        <v>4.3</v>
      </c>
      <c r="AJ142" s="15">
        <v>40</v>
      </c>
      <c r="AK142" s="15">
        <v>4.1100000000000003</v>
      </c>
      <c r="AL142" s="2" t="s">
        <v>21</v>
      </c>
      <c r="AM142" s="2">
        <v>7217</v>
      </c>
      <c r="AN142" s="6">
        <f>IF(Form_Responses1[[#This Row],[NT_proBNP &gt; 35000]]="Có", 35001, Form_Responses1[[#This Row],[NT_ProBNP]])</f>
        <v>7217</v>
      </c>
      <c r="AO142" s="15">
        <f>IF(Form_Responses1[[#This Row],[NT_proBNP &gt; 35000]]="Có", 1, 0)</f>
        <v>0</v>
      </c>
      <c r="AP142" s="15">
        <v>137</v>
      </c>
      <c r="AQ142" s="27">
        <v>24</v>
      </c>
      <c r="AR142" s="27">
        <v>11</v>
      </c>
      <c r="AS142" s="15">
        <v>86</v>
      </c>
      <c r="AT142" s="15">
        <v>26</v>
      </c>
      <c r="AU142" s="15">
        <v>47</v>
      </c>
      <c r="AV142" s="15">
        <v>57</v>
      </c>
      <c r="AW142" s="15">
        <v>34</v>
      </c>
      <c r="AX142" s="15">
        <v>25</v>
      </c>
      <c r="AY142" s="22">
        <f>IF(Form_Responses1[[#This Row],[ket_cuc]]="Không tử vong", 0, 1)</f>
        <v>0</v>
      </c>
      <c r="AZ142" s="2" t="s">
        <v>24</v>
      </c>
      <c r="BA142" s="32">
        <v>49</v>
      </c>
      <c r="BB142" s="32">
        <v>9.2978320430851996E-2</v>
      </c>
    </row>
    <row r="143" spans="1:54" s="5" customFormat="1" ht="13" x14ac:dyDescent="0.15">
      <c r="A143" s="1" t="s">
        <v>234</v>
      </c>
      <c r="B143" s="6">
        <v>62</v>
      </c>
      <c r="C143" s="6">
        <f>IF(Form_Responses1[[#This Row],[gioi_tinh]]="Nữ", 0, 1)</f>
        <v>0</v>
      </c>
      <c r="D143" s="1" t="s">
        <v>20</v>
      </c>
      <c r="E143" s="6">
        <v>20.399999999999999</v>
      </c>
      <c r="F143" s="6">
        <f>IF(Form_Responses1[[#This Row],[dai_thao_duong]]="Không", 0, 1)</f>
        <v>1</v>
      </c>
      <c r="G143" s="1" t="s">
        <v>22</v>
      </c>
      <c r="H143" s="6">
        <f t="shared" si="4"/>
        <v>1</v>
      </c>
      <c r="I143" s="1" t="s">
        <v>22</v>
      </c>
      <c r="J143" s="6">
        <f>IF(Form_Responses1[[#This Row],[hoi_chung_vanh_man]]="Không", 0, 1)</f>
        <v>1</v>
      </c>
      <c r="K143" s="1" t="s">
        <v>22</v>
      </c>
      <c r="L143" s="6">
        <f>IF(Form_Responses1[[#This Row],[ckd]]="Không", 0, 1)</f>
        <v>0</v>
      </c>
      <c r="M143" s="1" t="s">
        <v>21</v>
      </c>
      <c r="N143" s="6">
        <f t="shared" si="5"/>
        <v>0</v>
      </c>
      <c r="O143" s="1" t="s">
        <v>21</v>
      </c>
      <c r="P143" s="6">
        <f>IF(Form_Responses1[[#This Row],[phan_loai_the_lam_sang]]="Suy tim mất bù cấp", 1,0)</f>
        <v>1</v>
      </c>
      <c r="Q143" s="6">
        <f>IF(Form_Responses1[[#This Row],[phan_loai_the_lam_sang]]="Phù phổi cấp", 1, 0)</f>
        <v>0</v>
      </c>
      <c r="R143" s="6">
        <f>IF(Form_Responses1[[#This Row],[phan_loai_the_lam_sang]]="Choáng tim", 1, 0)</f>
        <v>0</v>
      </c>
      <c r="S143" s="1" t="s">
        <v>23</v>
      </c>
      <c r="T143" s="6">
        <v>103</v>
      </c>
      <c r="U143" s="6">
        <v>90</v>
      </c>
      <c r="V143" s="6">
        <v>60</v>
      </c>
      <c r="W143" s="6">
        <f>IF(Form_Responses1[[#This Row],[hcvc]]="Không", 0, 1)</f>
        <v>0</v>
      </c>
      <c r="X143" s="1" t="s">
        <v>21</v>
      </c>
      <c r="Y143" s="6">
        <f>IF(Form_Responses1[[#This Row],[suy_ho_hap]]="Không", 0, 1)</f>
        <v>1</v>
      </c>
      <c r="Z143" s="1" t="s">
        <v>22</v>
      </c>
      <c r="AA143" s="6">
        <f>IF(Form_Responses1[[#This Row],[rung_nhi]]="Không", 0, 1)</f>
        <v>0</v>
      </c>
      <c r="AB143" s="1" t="s">
        <v>21</v>
      </c>
      <c r="AC143" s="6">
        <v>516</v>
      </c>
      <c r="AD143" s="6">
        <v>0.09</v>
      </c>
      <c r="AE143" s="6">
        <v>8.68</v>
      </c>
      <c r="AF143" s="6">
        <v>95</v>
      </c>
      <c r="AG143" s="6">
        <v>430</v>
      </c>
      <c r="AH143" s="6">
        <v>129</v>
      </c>
      <c r="AI143" s="6">
        <v>3.9</v>
      </c>
      <c r="AJ143" s="6">
        <v>29</v>
      </c>
      <c r="AK143" s="6">
        <v>1.1499999999999999</v>
      </c>
      <c r="AL143" s="1" t="s">
        <v>22</v>
      </c>
      <c r="AM143" s="10"/>
      <c r="AN143" s="6">
        <f>IF(Form_Responses1[[#This Row],[NT_proBNP &gt; 35000]]="Có", 35001, Form_Responses1[[#This Row],[NT_ProBNP]])</f>
        <v>35001</v>
      </c>
      <c r="AO143" s="5">
        <f>IF(Form_Responses1[[#This Row],[NT_proBNP &gt; 35000]]="Có", 1, 0)</f>
        <v>1</v>
      </c>
      <c r="AP143" s="27">
        <v>239.1</v>
      </c>
      <c r="AQ143" s="6">
        <v>470</v>
      </c>
      <c r="AR143" s="6">
        <v>247</v>
      </c>
      <c r="AS143" s="27">
        <v>650</v>
      </c>
      <c r="AT143" s="13"/>
      <c r="AU143" s="6">
        <v>41.9</v>
      </c>
      <c r="AV143" s="6">
        <v>50.8</v>
      </c>
      <c r="AW143" s="6">
        <v>34</v>
      </c>
      <c r="AY143" s="25">
        <f>IF(Form_Responses1[[#This Row],[ket_cuc]]="Không tử vong", 0, 1)</f>
        <v>0</v>
      </c>
      <c r="AZ143" s="1" t="s">
        <v>24</v>
      </c>
      <c r="BA143" s="32">
        <v>52</v>
      </c>
      <c r="BB143" s="32">
        <v>0.10694819816819356</v>
      </c>
    </row>
    <row r="144" spans="1:54" ht="13" x14ac:dyDescent="0.15">
      <c r="A144" s="2" t="s">
        <v>300</v>
      </c>
      <c r="B144" s="15">
        <v>71</v>
      </c>
      <c r="C144" s="15">
        <f>IF(Form_Responses1[[#This Row],[gioi_tinh]]="Nữ", 0, 1)</f>
        <v>0</v>
      </c>
      <c r="D144" s="2" t="s">
        <v>20</v>
      </c>
      <c r="E144" s="15">
        <v>29.5</v>
      </c>
      <c r="F144" s="15">
        <f>IF(Form_Responses1[[#This Row],[dai_thao_duong]]="Không", 0, 1)</f>
        <v>0</v>
      </c>
      <c r="G144" s="2" t="s">
        <v>21</v>
      </c>
      <c r="H144" s="15">
        <f t="shared" si="4"/>
        <v>1</v>
      </c>
      <c r="I144" s="2" t="s">
        <v>22</v>
      </c>
      <c r="J144" s="15">
        <f>IF(Form_Responses1[[#This Row],[hoi_chung_vanh_man]]="Không", 0, 1)</f>
        <v>0</v>
      </c>
      <c r="K144" s="2" t="s">
        <v>21</v>
      </c>
      <c r="L144" s="15">
        <f>IF(Form_Responses1[[#This Row],[ckd]]="Không", 0, 1)</f>
        <v>0</v>
      </c>
      <c r="M144" s="2" t="s">
        <v>21</v>
      </c>
      <c r="N144" s="15">
        <f t="shared" si="5"/>
        <v>0</v>
      </c>
      <c r="O144" s="2" t="s">
        <v>21</v>
      </c>
      <c r="P144" s="15">
        <f>IF(Form_Responses1[[#This Row],[phan_loai_the_lam_sang]]="Suy tim mất bù cấp", 1,0)</f>
        <v>0</v>
      </c>
      <c r="Q144" s="15">
        <f>IF(Form_Responses1[[#This Row],[phan_loai_the_lam_sang]]="Phù phổi cấp", 1, 0)</f>
        <v>1</v>
      </c>
      <c r="R144" s="15">
        <f>IF(Form_Responses1[[#This Row],[phan_loai_the_lam_sang]]="Choáng tim", 1, 0)</f>
        <v>0</v>
      </c>
      <c r="S144" s="2" t="s">
        <v>45</v>
      </c>
      <c r="T144" s="15">
        <v>100</v>
      </c>
      <c r="U144" s="15">
        <v>140</v>
      </c>
      <c r="V144" s="15">
        <v>90</v>
      </c>
      <c r="W144" s="15">
        <f>IF(Form_Responses1[[#This Row],[hcvc]]="Không", 0, 1)</f>
        <v>1</v>
      </c>
      <c r="X144" s="2" t="s">
        <v>22</v>
      </c>
      <c r="Y144" s="15">
        <f>IF(Form_Responses1[[#This Row],[suy_ho_hap]]="Không", 0, 1)</f>
        <v>0</v>
      </c>
      <c r="Z144" s="2" t="s">
        <v>21</v>
      </c>
      <c r="AA144" s="15">
        <f>IF(Form_Responses1[[#This Row],[rung_nhi]]="Không", 0, 1)</f>
        <v>0</v>
      </c>
      <c r="AB144" s="2" t="s">
        <v>21</v>
      </c>
      <c r="AC144" s="15">
        <v>413</v>
      </c>
      <c r="AD144" s="15">
        <v>7.0000000000000007E-2</v>
      </c>
      <c r="AE144" s="15">
        <v>16.2</v>
      </c>
      <c r="AF144" s="15">
        <v>143</v>
      </c>
      <c r="AG144" s="15">
        <v>325</v>
      </c>
      <c r="AH144" s="15">
        <v>136</v>
      </c>
      <c r="AI144" s="15">
        <v>3.7</v>
      </c>
      <c r="AJ144" s="15">
        <v>6.5</v>
      </c>
      <c r="AK144" s="15">
        <v>1.04</v>
      </c>
      <c r="AL144" s="2" t="s">
        <v>21</v>
      </c>
      <c r="AM144" s="28">
        <v>12653.1</v>
      </c>
      <c r="AN144" s="6">
        <f>IF(Form_Responses1[[#This Row],[NT_proBNP &gt; 35000]]="Có", 35001, Form_Responses1[[#This Row],[NT_ProBNP]])</f>
        <v>12653.1</v>
      </c>
      <c r="AO144" s="27">
        <f>IF(Form_Responses1[[#This Row],[NT_proBNP &gt; 35000]]="Có", 1, 0)</f>
        <v>0</v>
      </c>
      <c r="AP144" s="15">
        <v>44664.4</v>
      </c>
      <c r="AQ144" s="15">
        <v>211</v>
      </c>
      <c r="AR144" s="15">
        <v>45</v>
      </c>
      <c r="AS144" s="15">
        <v>107</v>
      </c>
      <c r="AT144" s="15">
        <v>20.3</v>
      </c>
      <c r="AU144" s="15">
        <v>27.9</v>
      </c>
      <c r="AV144" s="15">
        <v>32.799999999999997</v>
      </c>
      <c r="AW144" s="15">
        <v>34</v>
      </c>
      <c r="AX144" s="18"/>
      <c r="AY144" s="26">
        <f>IF(Form_Responses1[[#This Row],[ket_cuc]]="Không tử vong", 0, 1)</f>
        <v>0</v>
      </c>
      <c r="AZ144" s="2" t="s">
        <v>24</v>
      </c>
      <c r="BA144" s="32">
        <v>39</v>
      </c>
      <c r="BB144" s="32">
        <v>4.948191214478876E-2</v>
      </c>
    </row>
    <row r="145" spans="1:54" ht="13" x14ac:dyDescent="0.15">
      <c r="A145" s="6" t="s">
        <v>322</v>
      </c>
      <c r="B145" s="6">
        <v>67</v>
      </c>
      <c r="C145" s="6">
        <f>IF(Form_Responses1[[#This Row],[gioi_tinh]]="Nữ", 0, 1)</f>
        <v>1</v>
      </c>
      <c r="D145" s="6" t="s">
        <v>26</v>
      </c>
      <c r="E145" s="6">
        <v>23.3</v>
      </c>
      <c r="F145" s="6">
        <f>IF(Form_Responses1[[#This Row],[dai_thao_duong]]="Không", 0, 1)</f>
        <v>0</v>
      </c>
      <c r="G145" s="6" t="s">
        <v>21</v>
      </c>
      <c r="H145" s="6">
        <f t="shared" si="4"/>
        <v>1</v>
      </c>
      <c r="I145" s="6" t="s">
        <v>22</v>
      </c>
      <c r="J145" s="6">
        <f>IF(Form_Responses1[[#This Row],[hoi_chung_vanh_man]]="Không", 0, 1)</f>
        <v>1</v>
      </c>
      <c r="K145" s="6" t="s">
        <v>22</v>
      </c>
      <c r="L145" s="6">
        <f>IF(Form_Responses1[[#This Row],[ckd]]="Không", 0, 1)</f>
        <v>0</v>
      </c>
      <c r="M145" s="6" t="s">
        <v>21</v>
      </c>
      <c r="N145" s="6">
        <f t="shared" si="5"/>
        <v>0</v>
      </c>
      <c r="O145" s="6" t="s">
        <v>21</v>
      </c>
      <c r="P145" s="6">
        <f>IF(Form_Responses1[[#This Row],[phan_loai_the_lam_sang]]="Suy tim mất bù cấp", 1,0)</f>
        <v>1</v>
      </c>
      <c r="Q145" s="6">
        <f>IF(Form_Responses1[[#This Row],[phan_loai_the_lam_sang]]="Phù phổi cấp", 1, 0)</f>
        <v>0</v>
      </c>
      <c r="R145" s="6">
        <f>IF(Form_Responses1[[#This Row],[phan_loai_the_lam_sang]]="Choáng tim", 1, 0)</f>
        <v>0</v>
      </c>
      <c r="S145" s="6" t="s">
        <v>23</v>
      </c>
      <c r="T145" s="6">
        <v>95</v>
      </c>
      <c r="U145" s="6">
        <v>130</v>
      </c>
      <c r="V145" s="6">
        <v>90</v>
      </c>
      <c r="W145" s="6">
        <f>IF(Form_Responses1[[#This Row],[hcvc]]="Không", 0, 1)</f>
        <v>0</v>
      </c>
      <c r="X145" s="6" t="s">
        <v>21</v>
      </c>
      <c r="Y145" s="6">
        <f>IF(Form_Responses1[[#This Row],[suy_ho_hap]]="Không", 0, 1)</f>
        <v>0</v>
      </c>
      <c r="Z145" s="6" t="s">
        <v>21</v>
      </c>
      <c r="AA145" s="6">
        <f>IF(Form_Responses1[[#This Row],[rung_nhi]]="Không", 0, 1)</f>
        <v>0</v>
      </c>
      <c r="AB145" s="6" t="s">
        <v>21</v>
      </c>
      <c r="AC145" s="6">
        <v>485</v>
      </c>
      <c r="AD145" s="6">
        <v>0.12</v>
      </c>
      <c r="AE145" s="6">
        <v>7.27</v>
      </c>
      <c r="AF145" s="6">
        <v>150</v>
      </c>
      <c r="AG145" s="6">
        <v>141</v>
      </c>
      <c r="AH145" s="6">
        <v>136</v>
      </c>
      <c r="AI145" s="6">
        <v>3.8</v>
      </c>
      <c r="AJ145" s="6">
        <v>30</v>
      </c>
      <c r="AK145" s="6">
        <v>1.65</v>
      </c>
      <c r="AL145" s="6" t="s">
        <v>21</v>
      </c>
      <c r="AM145" s="6">
        <v>6158.25</v>
      </c>
      <c r="AN145" s="6">
        <f>IF(Form_Responses1[[#This Row],[NT_proBNP &gt; 35000]]="Có", 35001, Form_Responses1[[#This Row],[NT_ProBNP]])</f>
        <v>6158.25</v>
      </c>
      <c r="AO145" s="6">
        <f>IF(Form_Responses1[[#This Row],[NT_proBNP &gt; 35000]]="Có", 1, 0)</f>
        <v>0</v>
      </c>
      <c r="AP145" s="6">
        <v>43.77</v>
      </c>
      <c r="AQ145" s="6">
        <v>81</v>
      </c>
      <c r="AR145" s="6">
        <v>112</v>
      </c>
      <c r="AS145" s="19"/>
      <c r="AT145" s="27">
        <v>49</v>
      </c>
      <c r="AU145" s="27">
        <v>52</v>
      </c>
      <c r="AV145" s="27">
        <v>61</v>
      </c>
      <c r="AW145" s="6">
        <v>33</v>
      </c>
      <c r="AX145" s="6">
        <v>47</v>
      </c>
      <c r="AY145" s="24">
        <f>IF(Form_Responses1[[#This Row],[ket_cuc]]="Không tử vong", 0, 1)</f>
        <v>0</v>
      </c>
      <c r="AZ145" s="6" t="s">
        <v>24</v>
      </c>
      <c r="BA145" s="32">
        <v>43</v>
      </c>
      <c r="BB145" s="32">
        <v>6.6738714411758507E-2</v>
      </c>
    </row>
    <row r="146" spans="1:54" ht="13" x14ac:dyDescent="0.15">
      <c r="A146" s="2" t="s">
        <v>338</v>
      </c>
      <c r="B146" s="15">
        <v>73</v>
      </c>
      <c r="C146" s="15">
        <f>IF(Form_Responses1[[#This Row],[gioi_tinh]]="Nữ", 0, 1)</f>
        <v>0</v>
      </c>
      <c r="D146" s="2" t="s">
        <v>20</v>
      </c>
      <c r="E146" s="15">
        <v>23.5</v>
      </c>
      <c r="F146" s="15">
        <f>IF(Form_Responses1[[#This Row],[dai_thao_duong]]="Không", 0, 1)</f>
        <v>1</v>
      </c>
      <c r="G146" s="2" t="s">
        <v>22</v>
      </c>
      <c r="H146" s="15">
        <f t="shared" si="4"/>
        <v>1</v>
      </c>
      <c r="I146" s="2" t="s">
        <v>22</v>
      </c>
      <c r="J146" s="15">
        <f>IF(Form_Responses1[[#This Row],[hoi_chung_vanh_man]]="Không", 0, 1)</f>
        <v>0</v>
      </c>
      <c r="K146" s="2" t="s">
        <v>21</v>
      </c>
      <c r="L146" s="15">
        <f>IF(Form_Responses1[[#This Row],[ckd]]="Không", 0, 1)</f>
        <v>0</v>
      </c>
      <c r="M146" s="2" t="s">
        <v>21</v>
      </c>
      <c r="N146" s="15">
        <f t="shared" si="5"/>
        <v>0</v>
      </c>
      <c r="O146" s="2" t="s">
        <v>21</v>
      </c>
      <c r="P146" s="15">
        <f>IF(Form_Responses1[[#This Row],[phan_loai_the_lam_sang]]="Suy tim mất bù cấp", 1,0)</f>
        <v>1</v>
      </c>
      <c r="Q146" s="15">
        <f>IF(Form_Responses1[[#This Row],[phan_loai_the_lam_sang]]="Phù phổi cấp", 1, 0)</f>
        <v>0</v>
      </c>
      <c r="R146" s="15">
        <f>IF(Form_Responses1[[#This Row],[phan_loai_the_lam_sang]]="Choáng tim", 1, 0)</f>
        <v>0</v>
      </c>
      <c r="S146" s="2" t="s">
        <v>23</v>
      </c>
      <c r="T146" s="15">
        <v>129</v>
      </c>
      <c r="U146" s="15">
        <v>140</v>
      </c>
      <c r="V146" s="15">
        <v>80</v>
      </c>
      <c r="W146" s="15">
        <f>IF(Form_Responses1[[#This Row],[hcvc]]="Không", 0, 1)</f>
        <v>1</v>
      </c>
      <c r="X146" s="2" t="s">
        <v>22</v>
      </c>
      <c r="Y146" s="15">
        <f>IF(Form_Responses1[[#This Row],[suy_ho_hap]]="Không", 0, 1)</f>
        <v>1</v>
      </c>
      <c r="Z146" s="2" t="s">
        <v>22</v>
      </c>
      <c r="AA146" s="15">
        <f>IF(Form_Responses1[[#This Row],[rung_nhi]]="Không", 0, 1)</f>
        <v>0</v>
      </c>
      <c r="AB146" s="2" t="s">
        <v>21</v>
      </c>
      <c r="AC146" s="15">
        <v>482</v>
      </c>
      <c r="AD146" s="15">
        <v>0.06</v>
      </c>
      <c r="AE146" s="15">
        <v>11.77</v>
      </c>
      <c r="AF146" s="15">
        <v>85</v>
      </c>
      <c r="AG146" s="15">
        <v>442</v>
      </c>
      <c r="AH146" s="15">
        <v>132</v>
      </c>
      <c r="AI146" s="15">
        <v>4.3</v>
      </c>
      <c r="AJ146" s="15">
        <v>34</v>
      </c>
      <c r="AK146" s="15">
        <v>2.2000000000000002</v>
      </c>
      <c r="AL146" s="2" t="s">
        <v>22</v>
      </c>
      <c r="AM146" s="12"/>
      <c r="AN146" s="6">
        <f>IF(Form_Responses1[[#This Row],[NT_proBNP &gt; 35000]]="Có", 35001, Form_Responses1[[#This Row],[NT_ProBNP]])</f>
        <v>35001</v>
      </c>
      <c r="AO146" s="18">
        <f>IF(Form_Responses1[[#This Row],[NT_proBNP &gt; 35000]]="Có", 1, 0)</f>
        <v>1</v>
      </c>
      <c r="AP146" s="15">
        <v>44.11</v>
      </c>
      <c r="AQ146" s="15">
        <v>19</v>
      </c>
      <c r="AR146" s="15">
        <v>20</v>
      </c>
      <c r="AS146" s="15">
        <v>248</v>
      </c>
      <c r="AT146" s="15">
        <v>42</v>
      </c>
      <c r="AU146" s="15">
        <v>33.9</v>
      </c>
      <c r="AV146" s="15">
        <v>43.4</v>
      </c>
      <c r="AW146" s="15">
        <v>33</v>
      </c>
      <c r="AX146" s="15">
        <v>48</v>
      </c>
      <c r="AY146" s="22">
        <f>IF(Form_Responses1[[#This Row],[ket_cuc]]="Không tử vong", 0, 1)</f>
        <v>0</v>
      </c>
      <c r="AZ146" s="2" t="s">
        <v>24</v>
      </c>
      <c r="BA146" s="32">
        <v>48</v>
      </c>
      <c r="BB146" s="32">
        <v>0.14894495513289349</v>
      </c>
    </row>
    <row r="147" spans="1:54" ht="13" x14ac:dyDescent="0.15">
      <c r="A147" s="1" t="s">
        <v>335</v>
      </c>
      <c r="B147" s="6">
        <v>67</v>
      </c>
      <c r="C147" s="6">
        <f>IF(Form_Responses1[[#This Row],[gioi_tinh]]="Nữ", 0, 1)</f>
        <v>0</v>
      </c>
      <c r="D147" s="1" t="s">
        <v>20</v>
      </c>
      <c r="E147" s="6">
        <v>24.4</v>
      </c>
      <c r="F147" s="6">
        <f>IF(Form_Responses1[[#This Row],[dai_thao_duong]]="Không", 0, 1)</f>
        <v>1</v>
      </c>
      <c r="G147" s="1" t="s">
        <v>22</v>
      </c>
      <c r="H147" s="6">
        <f t="shared" si="4"/>
        <v>1</v>
      </c>
      <c r="I147" s="1" t="s">
        <v>22</v>
      </c>
      <c r="J147" s="6">
        <f>IF(Form_Responses1[[#This Row],[hoi_chung_vanh_man]]="Không", 0, 1)</f>
        <v>0</v>
      </c>
      <c r="K147" s="1" t="s">
        <v>21</v>
      </c>
      <c r="L147" s="6">
        <f>IF(Form_Responses1[[#This Row],[ckd]]="Không", 0, 1)</f>
        <v>1</v>
      </c>
      <c r="M147" s="1" t="s">
        <v>22</v>
      </c>
      <c r="N147" s="6">
        <f t="shared" si="5"/>
        <v>0</v>
      </c>
      <c r="O147" s="1" t="s">
        <v>21</v>
      </c>
      <c r="P147" s="6">
        <f>IF(Form_Responses1[[#This Row],[phan_loai_the_lam_sang]]="Suy tim mất bù cấp", 1,0)</f>
        <v>1</v>
      </c>
      <c r="Q147" s="6">
        <f>IF(Form_Responses1[[#This Row],[phan_loai_the_lam_sang]]="Phù phổi cấp", 1, 0)</f>
        <v>0</v>
      </c>
      <c r="R147" s="6">
        <f>IF(Form_Responses1[[#This Row],[phan_loai_the_lam_sang]]="Choáng tim", 1, 0)</f>
        <v>0</v>
      </c>
      <c r="S147" s="1" t="s">
        <v>23</v>
      </c>
      <c r="T147" s="6">
        <v>98</v>
      </c>
      <c r="U147" s="6">
        <v>160</v>
      </c>
      <c r="V147" s="6">
        <v>100</v>
      </c>
      <c r="W147" s="6">
        <f>IF(Form_Responses1[[#This Row],[hcvc]]="Không", 0, 1)</f>
        <v>1</v>
      </c>
      <c r="X147" s="1" t="s">
        <v>22</v>
      </c>
      <c r="Y147" s="6">
        <f>IF(Form_Responses1[[#This Row],[suy_ho_hap]]="Không", 0, 1)</f>
        <v>0</v>
      </c>
      <c r="Z147" s="1" t="s">
        <v>21</v>
      </c>
      <c r="AA147" s="6">
        <f>IF(Form_Responses1[[#This Row],[rung_nhi]]="Không", 0, 1)</f>
        <v>0</v>
      </c>
      <c r="AB147" s="1" t="s">
        <v>21</v>
      </c>
      <c r="AC147" s="6">
        <v>425</v>
      </c>
      <c r="AD147" s="6">
        <v>0.08</v>
      </c>
      <c r="AE147" s="6">
        <v>12.79</v>
      </c>
      <c r="AF147" s="6">
        <v>102</v>
      </c>
      <c r="AG147" s="6">
        <v>424</v>
      </c>
      <c r="AH147" s="6">
        <v>133</v>
      </c>
      <c r="AI147" s="6">
        <v>3.8</v>
      </c>
      <c r="AJ147" s="6">
        <v>50</v>
      </c>
      <c r="AK147" s="6">
        <v>1.91</v>
      </c>
      <c r="AL147" s="28" t="s">
        <v>21</v>
      </c>
      <c r="AM147" s="28">
        <v>29348.799999999999</v>
      </c>
      <c r="AN147" s="6">
        <f>IF(Form_Responses1[[#This Row],[NT_proBNP &gt; 35000]]="Có", 35001, Form_Responses1[[#This Row],[NT_ProBNP]])</f>
        <v>29348.799999999999</v>
      </c>
      <c r="AO147" s="27">
        <f>IF(Form_Responses1[[#This Row],[NT_proBNP &gt; 35000]]="Có", 1, 0)</f>
        <v>0</v>
      </c>
      <c r="AP147" s="6">
        <v>4635.68</v>
      </c>
      <c r="AQ147" s="6">
        <v>37</v>
      </c>
      <c r="AR147" s="6">
        <v>55</v>
      </c>
      <c r="AS147" s="6">
        <v>200</v>
      </c>
      <c r="AT147" s="6">
        <v>28</v>
      </c>
      <c r="AU147" s="6">
        <v>41</v>
      </c>
      <c r="AV147" s="6">
        <v>50</v>
      </c>
      <c r="AW147" s="6">
        <v>33</v>
      </c>
      <c r="AX147" s="13"/>
      <c r="AY147" s="23">
        <f>IF(Form_Responses1[[#This Row],[ket_cuc]]="Không tử vong", 0, 1)</f>
        <v>0</v>
      </c>
      <c r="AZ147" s="1" t="s">
        <v>24</v>
      </c>
      <c r="BA147" s="32">
        <v>42</v>
      </c>
      <c r="BB147" s="32">
        <v>8.5755328866983449E-2</v>
      </c>
    </row>
    <row r="148" spans="1:54" ht="13" x14ac:dyDescent="0.15">
      <c r="A148" s="2" t="s">
        <v>134</v>
      </c>
      <c r="B148" s="15">
        <v>87</v>
      </c>
      <c r="C148" s="15">
        <f>IF(Form_Responses1[[#This Row],[gioi_tinh]]="Nữ", 0, 1)</f>
        <v>0</v>
      </c>
      <c r="D148" s="2" t="s">
        <v>20</v>
      </c>
      <c r="E148" s="15">
        <v>25</v>
      </c>
      <c r="F148" s="15">
        <f>IF(Form_Responses1[[#This Row],[dai_thao_duong]]="Không", 0, 1)</f>
        <v>0</v>
      </c>
      <c r="G148" s="2" t="s">
        <v>21</v>
      </c>
      <c r="H148" s="15">
        <f t="shared" si="4"/>
        <v>1</v>
      </c>
      <c r="I148" s="2" t="s">
        <v>22</v>
      </c>
      <c r="J148" s="15">
        <f>IF(Form_Responses1[[#This Row],[hoi_chung_vanh_man]]="Không", 0, 1)</f>
        <v>0</v>
      </c>
      <c r="K148" s="2" t="s">
        <v>21</v>
      </c>
      <c r="L148" s="15">
        <f>IF(Form_Responses1[[#This Row],[ckd]]="Không", 0, 1)</f>
        <v>0</v>
      </c>
      <c r="M148" s="2" t="s">
        <v>21</v>
      </c>
      <c r="N148" s="15">
        <f t="shared" si="5"/>
        <v>0</v>
      </c>
      <c r="O148" s="2" t="s">
        <v>21</v>
      </c>
      <c r="P148" s="15">
        <f>IF(Form_Responses1[[#This Row],[phan_loai_the_lam_sang]]="Suy tim mất bù cấp", 1,0)</f>
        <v>0</v>
      </c>
      <c r="Q148" s="15">
        <f>IF(Form_Responses1[[#This Row],[phan_loai_the_lam_sang]]="Phù phổi cấp", 1, 0)</f>
        <v>1</v>
      </c>
      <c r="R148" s="15">
        <f>IF(Form_Responses1[[#This Row],[phan_loai_the_lam_sang]]="Choáng tim", 1, 0)</f>
        <v>0</v>
      </c>
      <c r="S148" s="2" t="s">
        <v>45</v>
      </c>
      <c r="T148" s="15">
        <v>120</v>
      </c>
      <c r="U148" s="15">
        <v>120</v>
      </c>
      <c r="V148" s="15">
        <v>60</v>
      </c>
      <c r="W148" s="15">
        <f>IF(Form_Responses1[[#This Row],[hcvc]]="Không", 0, 1)</f>
        <v>1</v>
      </c>
      <c r="X148" s="2" t="s">
        <v>22</v>
      </c>
      <c r="Y148" s="15">
        <f>IF(Form_Responses1[[#This Row],[suy_ho_hap]]="Không", 0, 1)</f>
        <v>1</v>
      </c>
      <c r="Z148" s="2" t="s">
        <v>22</v>
      </c>
      <c r="AA148" s="15">
        <f>IF(Form_Responses1[[#This Row],[rung_nhi]]="Không", 0, 1)</f>
        <v>0</v>
      </c>
      <c r="AB148" s="2" t="s">
        <v>21</v>
      </c>
      <c r="AC148" s="15">
        <v>499</v>
      </c>
      <c r="AD148" s="15">
        <v>0.12</v>
      </c>
      <c r="AE148" s="15">
        <v>17.63</v>
      </c>
      <c r="AF148" s="15">
        <v>74</v>
      </c>
      <c r="AG148" s="15">
        <v>237</v>
      </c>
      <c r="AH148" s="15">
        <v>128</v>
      </c>
      <c r="AI148" s="15">
        <v>2.8</v>
      </c>
      <c r="AJ148" s="15">
        <v>20</v>
      </c>
      <c r="AK148" s="15">
        <v>1.25</v>
      </c>
      <c r="AL148" s="2" t="s">
        <v>22</v>
      </c>
      <c r="AN148" s="6">
        <f>IF(Form_Responses1[[#This Row],[NT_proBNP &gt; 35000]]="Có", 35001, Form_Responses1[[#This Row],[NT_ProBNP]])</f>
        <v>35001</v>
      </c>
      <c r="AO148" s="5">
        <f>IF(Form_Responses1[[#This Row],[NT_proBNP &gt; 35000]]="Có", 1, 0)</f>
        <v>1</v>
      </c>
      <c r="AP148" s="15">
        <v>7013</v>
      </c>
      <c r="AQ148" s="15">
        <v>1550</v>
      </c>
      <c r="AR148" s="15">
        <v>990</v>
      </c>
      <c r="AS148" s="15">
        <v>113</v>
      </c>
      <c r="AT148" s="27">
        <v>37</v>
      </c>
      <c r="AU148" s="15">
        <v>44</v>
      </c>
      <c r="AV148" s="15">
        <v>53</v>
      </c>
      <c r="AW148" s="15">
        <v>33</v>
      </c>
      <c r="AX148" s="27">
        <v>49</v>
      </c>
      <c r="AY148" s="29">
        <f>IF(Form_Responses1[[#This Row],[ket_cuc]]="Không tử vong", 0, 1)</f>
        <v>0</v>
      </c>
      <c r="AZ148" s="2" t="s">
        <v>24</v>
      </c>
      <c r="BA148" s="32">
        <v>53</v>
      </c>
      <c r="BB148" s="32">
        <v>0.20255522810077026</v>
      </c>
    </row>
    <row r="149" spans="1:54" ht="13" x14ac:dyDescent="0.15">
      <c r="A149" s="1" t="s">
        <v>296</v>
      </c>
      <c r="B149" s="6">
        <v>78</v>
      </c>
      <c r="C149" s="6">
        <f>IF(Form_Responses1[[#This Row],[gioi_tinh]]="Nữ", 0, 1)</f>
        <v>1</v>
      </c>
      <c r="D149" s="1" t="s">
        <v>26</v>
      </c>
      <c r="E149" s="6">
        <v>21.1</v>
      </c>
      <c r="F149" s="6">
        <f>IF(Form_Responses1[[#This Row],[dai_thao_duong]]="Không", 0, 1)</f>
        <v>1</v>
      </c>
      <c r="G149" s="1" t="s">
        <v>22</v>
      </c>
      <c r="H149" s="6">
        <f t="shared" si="4"/>
        <v>1</v>
      </c>
      <c r="I149" s="1" t="s">
        <v>22</v>
      </c>
      <c r="J149" s="6">
        <f>IF(Form_Responses1[[#This Row],[hoi_chung_vanh_man]]="Không", 0, 1)</f>
        <v>1</v>
      </c>
      <c r="K149" s="1" t="s">
        <v>22</v>
      </c>
      <c r="L149" s="6">
        <f>IF(Form_Responses1[[#This Row],[ckd]]="Không", 0, 1)</f>
        <v>0</v>
      </c>
      <c r="M149" s="1" t="s">
        <v>21</v>
      </c>
      <c r="N149" s="6">
        <f t="shared" si="5"/>
        <v>0</v>
      </c>
      <c r="O149" s="1" t="s">
        <v>21</v>
      </c>
      <c r="P149" s="6">
        <f>IF(Form_Responses1[[#This Row],[phan_loai_the_lam_sang]]="Suy tim mất bù cấp", 1,0)</f>
        <v>1</v>
      </c>
      <c r="Q149" s="6">
        <f>IF(Form_Responses1[[#This Row],[phan_loai_the_lam_sang]]="Phù phổi cấp", 1, 0)</f>
        <v>0</v>
      </c>
      <c r="R149" s="6">
        <f>IF(Form_Responses1[[#This Row],[phan_loai_the_lam_sang]]="Choáng tim", 1, 0)</f>
        <v>0</v>
      </c>
      <c r="S149" s="1" t="s">
        <v>23</v>
      </c>
      <c r="T149" s="6">
        <v>94</v>
      </c>
      <c r="U149" s="6">
        <v>130</v>
      </c>
      <c r="V149" s="6">
        <v>90</v>
      </c>
      <c r="W149" s="6">
        <f>IF(Form_Responses1[[#This Row],[hcvc]]="Không", 0, 1)</f>
        <v>0</v>
      </c>
      <c r="X149" s="1" t="s">
        <v>21</v>
      </c>
      <c r="Y149" s="6">
        <f>IF(Form_Responses1[[#This Row],[suy_ho_hap]]="Không", 0, 1)</f>
        <v>1</v>
      </c>
      <c r="Z149" s="1" t="s">
        <v>22</v>
      </c>
      <c r="AA149" s="6">
        <f>IF(Form_Responses1[[#This Row],[rung_nhi]]="Không", 0, 1)</f>
        <v>0</v>
      </c>
      <c r="AB149" s="1" t="s">
        <v>21</v>
      </c>
      <c r="AC149" s="6">
        <v>534</v>
      </c>
      <c r="AD149" s="6">
        <v>0.08</v>
      </c>
      <c r="AE149" s="6">
        <v>6.78</v>
      </c>
      <c r="AF149" s="6">
        <v>115</v>
      </c>
      <c r="AG149" s="6">
        <v>124</v>
      </c>
      <c r="AH149" s="6">
        <v>132</v>
      </c>
      <c r="AI149" s="6">
        <v>3.8</v>
      </c>
      <c r="AJ149" s="6">
        <v>26</v>
      </c>
      <c r="AK149" s="6">
        <v>1.79</v>
      </c>
      <c r="AL149" s="1" t="s">
        <v>21</v>
      </c>
      <c r="AM149" s="1">
        <v>15541</v>
      </c>
      <c r="AN149" s="6">
        <f>IF(Form_Responses1[[#This Row],[NT_proBNP &gt; 35000]]="Có", 35001, Form_Responses1[[#This Row],[NT_ProBNP]])</f>
        <v>15541</v>
      </c>
      <c r="AO149" s="6">
        <f>IF(Form_Responses1[[#This Row],[NT_proBNP &gt; 35000]]="Có", 1, 0)</f>
        <v>0</v>
      </c>
      <c r="AP149" s="6">
        <v>24.5</v>
      </c>
      <c r="AQ149" s="6">
        <v>195</v>
      </c>
      <c r="AR149" s="6">
        <v>227</v>
      </c>
      <c r="AS149" s="6">
        <v>106</v>
      </c>
      <c r="AT149" s="6">
        <v>34</v>
      </c>
      <c r="AU149" s="6">
        <v>54</v>
      </c>
      <c r="AV149" s="6">
        <v>63</v>
      </c>
      <c r="AW149" s="6">
        <v>32</v>
      </c>
      <c r="AX149" s="6">
        <v>30</v>
      </c>
      <c r="AY149" s="24">
        <f>IF(Form_Responses1[[#This Row],[ket_cuc]]="Không tử vong", 0, 1)</f>
        <v>0</v>
      </c>
      <c r="AZ149" s="1" t="s">
        <v>24</v>
      </c>
      <c r="BA149" s="32">
        <v>44</v>
      </c>
      <c r="BB149" s="32">
        <v>8.1735278698684119E-2</v>
      </c>
    </row>
    <row r="150" spans="1:54" ht="13" x14ac:dyDescent="0.15">
      <c r="A150" s="2" t="s">
        <v>143</v>
      </c>
      <c r="B150" s="15">
        <v>65</v>
      </c>
      <c r="C150" s="15">
        <f>IF(Form_Responses1[[#This Row],[gioi_tinh]]="Nữ", 0, 1)</f>
        <v>0</v>
      </c>
      <c r="D150" s="2" t="s">
        <v>20</v>
      </c>
      <c r="E150" s="15">
        <v>22.5</v>
      </c>
      <c r="F150" s="15">
        <f>IF(Form_Responses1[[#This Row],[dai_thao_duong]]="Không", 0, 1)</f>
        <v>0</v>
      </c>
      <c r="G150" s="2" t="s">
        <v>21</v>
      </c>
      <c r="H150" s="15">
        <f t="shared" si="4"/>
        <v>1</v>
      </c>
      <c r="I150" s="2" t="s">
        <v>22</v>
      </c>
      <c r="J150" s="15">
        <f>IF(Form_Responses1[[#This Row],[hoi_chung_vanh_man]]="Không", 0, 1)</f>
        <v>1</v>
      </c>
      <c r="K150" s="2" t="s">
        <v>22</v>
      </c>
      <c r="L150" s="15">
        <f>IF(Form_Responses1[[#This Row],[ckd]]="Không", 0, 1)</f>
        <v>0</v>
      </c>
      <c r="M150" s="2" t="s">
        <v>21</v>
      </c>
      <c r="N150" s="15">
        <f t="shared" si="5"/>
        <v>0</v>
      </c>
      <c r="O150" s="2" t="s">
        <v>21</v>
      </c>
      <c r="P150" s="15">
        <f>IF(Form_Responses1[[#This Row],[phan_loai_the_lam_sang]]="Suy tim mất bù cấp", 1,0)</f>
        <v>1</v>
      </c>
      <c r="Q150" s="15">
        <f>IF(Form_Responses1[[#This Row],[phan_loai_the_lam_sang]]="Phù phổi cấp", 1, 0)</f>
        <v>0</v>
      </c>
      <c r="R150" s="15">
        <f>IF(Form_Responses1[[#This Row],[phan_loai_the_lam_sang]]="Choáng tim", 1, 0)</f>
        <v>0</v>
      </c>
      <c r="S150" s="2" t="s">
        <v>23</v>
      </c>
      <c r="T150" s="15">
        <v>118</v>
      </c>
      <c r="U150" s="15">
        <v>130</v>
      </c>
      <c r="V150" s="15">
        <v>80</v>
      </c>
      <c r="W150" s="15">
        <f>IF(Form_Responses1[[#This Row],[hcvc]]="Không", 0, 1)</f>
        <v>0</v>
      </c>
      <c r="X150" s="2" t="s">
        <v>21</v>
      </c>
      <c r="Y150" s="15">
        <f>IF(Form_Responses1[[#This Row],[suy_ho_hap]]="Không", 0, 1)</f>
        <v>0</v>
      </c>
      <c r="Z150" s="2" t="s">
        <v>21</v>
      </c>
      <c r="AA150" s="15">
        <f>IF(Form_Responses1[[#This Row],[rung_nhi]]="Không", 0, 1)</f>
        <v>0</v>
      </c>
      <c r="AB150" s="2" t="s">
        <v>21</v>
      </c>
      <c r="AC150" s="15">
        <v>481</v>
      </c>
      <c r="AD150" s="15">
        <v>0.08</v>
      </c>
      <c r="AE150" s="15">
        <v>9.33</v>
      </c>
      <c r="AF150" s="15">
        <v>117</v>
      </c>
      <c r="AG150" s="15">
        <v>294</v>
      </c>
      <c r="AH150" s="15">
        <v>140</v>
      </c>
      <c r="AI150" s="15">
        <v>3.1</v>
      </c>
      <c r="AJ150" s="15">
        <v>11</v>
      </c>
      <c r="AK150" s="15">
        <v>0.6</v>
      </c>
      <c r="AL150" s="2" t="s">
        <v>21</v>
      </c>
      <c r="AM150" s="2">
        <v>5035.3999999999996</v>
      </c>
      <c r="AN150" s="6">
        <f>IF(Form_Responses1[[#This Row],[NT_proBNP &gt; 35000]]="Có", 35001, Form_Responses1[[#This Row],[NT_ProBNP]])</f>
        <v>5035.3999999999996</v>
      </c>
      <c r="AO150" s="15">
        <f>IF(Form_Responses1[[#This Row],[NT_proBNP &gt; 35000]]="Có", 1, 0)</f>
        <v>0</v>
      </c>
      <c r="AP150" s="15">
        <v>28.41</v>
      </c>
      <c r="AQ150" s="15">
        <v>36</v>
      </c>
      <c r="AR150" s="15">
        <v>131</v>
      </c>
      <c r="AS150" s="15">
        <v>182</v>
      </c>
      <c r="AT150" s="15">
        <v>44</v>
      </c>
      <c r="AU150" s="15">
        <v>55</v>
      </c>
      <c r="AV150" s="15">
        <v>67</v>
      </c>
      <c r="AW150" s="15">
        <v>32</v>
      </c>
      <c r="AX150" s="18"/>
      <c r="AY150" s="26">
        <f>IF(Form_Responses1[[#This Row],[ket_cuc]]="Không tử vong", 0, 1)</f>
        <v>0</v>
      </c>
      <c r="AZ150" s="2" t="s">
        <v>24</v>
      </c>
      <c r="BA150" s="32">
        <v>40</v>
      </c>
      <c r="BB150" s="32">
        <v>6.8817321262709674E-2</v>
      </c>
    </row>
    <row r="151" spans="1:54" ht="13" x14ac:dyDescent="0.15">
      <c r="A151" s="1" t="s">
        <v>67</v>
      </c>
      <c r="B151" s="6">
        <v>69</v>
      </c>
      <c r="C151" s="6">
        <f>IF(Form_Responses1[[#This Row],[gioi_tinh]]="Nữ", 0, 1)</f>
        <v>1</v>
      </c>
      <c r="D151" s="1" t="s">
        <v>26</v>
      </c>
      <c r="E151" s="6">
        <v>23.1</v>
      </c>
      <c r="F151" s="6">
        <f>IF(Form_Responses1[[#This Row],[dai_thao_duong]]="Không", 0, 1)</f>
        <v>0</v>
      </c>
      <c r="G151" s="1" t="s">
        <v>21</v>
      </c>
      <c r="H151" s="6">
        <f t="shared" si="4"/>
        <v>1</v>
      </c>
      <c r="I151" s="1" t="s">
        <v>22</v>
      </c>
      <c r="J151" s="6">
        <f>IF(Form_Responses1[[#This Row],[hoi_chung_vanh_man]]="Không", 0, 1)</f>
        <v>1</v>
      </c>
      <c r="K151" s="1" t="s">
        <v>22</v>
      </c>
      <c r="L151" s="6">
        <f>IF(Form_Responses1[[#This Row],[ckd]]="Không", 0, 1)</f>
        <v>0</v>
      </c>
      <c r="M151" s="1" t="s">
        <v>21</v>
      </c>
      <c r="N151" s="6">
        <f t="shared" si="5"/>
        <v>0</v>
      </c>
      <c r="O151" s="1" t="s">
        <v>21</v>
      </c>
      <c r="P151" s="6">
        <f>IF(Form_Responses1[[#This Row],[phan_loai_the_lam_sang]]="Suy tim mất bù cấp", 1,0)</f>
        <v>1</v>
      </c>
      <c r="Q151" s="6">
        <f>IF(Form_Responses1[[#This Row],[phan_loai_the_lam_sang]]="Phù phổi cấp", 1, 0)</f>
        <v>0</v>
      </c>
      <c r="R151" s="6">
        <f>IF(Form_Responses1[[#This Row],[phan_loai_the_lam_sang]]="Choáng tim", 1, 0)</f>
        <v>0</v>
      </c>
      <c r="S151" s="1" t="s">
        <v>23</v>
      </c>
      <c r="T151" s="6">
        <v>117</v>
      </c>
      <c r="U151" s="6">
        <v>140</v>
      </c>
      <c r="V151" s="6">
        <v>80</v>
      </c>
      <c r="W151" s="6">
        <f>IF(Form_Responses1[[#This Row],[hcvc]]="Không", 0, 1)</f>
        <v>0</v>
      </c>
      <c r="X151" s="1" t="s">
        <v>21</v>
      </c>
      <c r="Y151" s="6">
        <f>IF(Form_Responses1[[#This Row],[suy_ho_hap]]="Không", 0, 1)</f>
        <v>0</v>
      </c>
      <c r="Z151" s="1" t="s">
        <v>21</v>
      </c>
      <c r="AA151" s="6">
        <f>IF(Form_Responses1[[#This Row],[rung_nhi]]="Không", 0, 1)</f>
        <v>0</v>
      </c>
      <c r="AB151" s="1" t="s">
        <v>21</v>
      </c>
      <c r="AC151" s="6">
        <v>388</v>
      </c>
      <c r="AD151" s="6">
        <v>0.12</v>
      </c>
      <c r="AE151" s="6">
        <v>12.4</v>
      </c>
      <c r="AF151" s="6">
        <v>134</v>
      </c>
      <c r="AG151" s="6">
        <v>207</v>
      </c>
      <c r="AH151" s="6">
        <v>134</v>
      </c>
      <c r="AI151" s="6">
        <v>4.3</v>
      </c>
      <c r="AJ151" s="6">
        <v>22</v>
      </c>
      <c r="AK151" s="6">
        <v>1.93</v>
      </c>
      <c r="AL151" s="1" t="s">
        <v>21</v>
      </c>
      <c r="AM151" s="1">
        <v>4837</v>
      </c>
      <c r="AN151" s="6">
        <f>IF(Form_Responses1[[#This Row],[NT_proBNP &gt; 35000]]="Có", 35001, Form_Responses1[[#This Row],[NT_ProBNP]])</f>
        <v>4837</v>
      </c>
      <c r="AO151" s="6">
        <f>IF(Form_Responses1[[#This Row],[NT_proBNP &gt; 35000]]="Có", 1, 0)</f>
        <v>0</v>
      </c>
      <c r="AP151" s="6">
        <v>44.7</v>
      </c>
      <c r="AQ151" s="6">
        <v>31</v>
      </c>
      <c r="AR151" s="6">
        <v>18</v>
      </c>
      <c r="AS151" s="6">
        <v>351</v>
      </c>
      <c r="AU151" s="6">
        <v>50.3</v>
      </c>
      <c r="AV151" s="6">
        <v>58.9</v>
      </c>
      <c r="AW151" s="6">
        <v>32</v>
      </c>
      <c r="AX151" s="6">
        <v>42</v>
      </c>
      <c r="AY151" s="24">
        <f>IF(Form_Responses1[[#This Row],[ket_cuc]]="Không tử vong", 0, 1)</f>
        <v>0</v>
      </c>
      <c r="AZ151" s="1" t="s">
        <v>24</v>
      </c>
      <c r="BA151" s="32">
        <v>42</v>
      </c>
      <c r="BB151" s="32">
        <v>9.3663676371073992E-2</v>
      </c>
    </row>
    <row r="152" spans="1:54" ht="13" x14ac:dyDescent="0.15">
      <c r="A152" s="2" t="s">
        <v>284</v>
      </c>
      <c r="B152" s="15">
        <v>75</v>
      </c>
      <c r="C152" s="15">
        <f>IF(Form_Responses1[[#This Row],[gioi_tinh]]="Nữ", 0, 1)</f>
        <v>0</v>
      </c>
      <c r="D152" s="2" t="s">
        <v>20</v>
      </c>
      <c r="E152" s="15">
        <v>22.7</v>
      </c>
      <c r="F152" s="15">
        <f>IF(Form_Responses1[[#This Row],[dai_thao_duong]]="Không", 0, 1)</f>
        <v>0</v>
      </c>
      <c r="G152" s="2" t="s">
        <v>21</v>
      </c>
      <c r="H152" s="15">
        <f t="shared" si="4"/>
        <v>1</v>
      </c>
      <c r="I152" s="2" t="s">
        <v>22</v>
      </c>
      <c r="J152" s="15">
        <f>IF(Form_Responses1[[#This Row],[hoi_chung_vanh_man]]="Không", 0, 1)</f>
        <v>0</v>
      </c>
      <c r="K152" s="2" t="s">
        <v>21</v>
      </c>
      <c r="L152" s="15">
        <f>IF(Form_Responses1[[#This Row],[ckd]]="Không", 0, 1)</f>
        <v>0</v>
      </c>
      <c r="M152" s="2" t="s">
        <v>21</v>
      </c>
      <c r="N152" s="15">
        <f t="shared" si="5"/>
        <v>0</v>
      </c>
      <c r="O152" s="2" t="s">
        <v>21</v>
      </c>
      <c r="P152" s="15">
        <f>IF(Form_Responses1[[#This Row],[phan_loai_the_lam_sang]]="Suy tim mất bù cấp", 1,0)</f>
        <v>0</v>
      </c>
      <c r="Q152" s="15">
        <f>IF(Form_Responses1[[#This Row],[phan_loai_the_lam_sang]]="Phù phổi cấp", 1, 0)</f>
        <v>1</v>
      </c>
      <c r="R152" s="15">
        <f>IF(Form_Responses1[[#This Row],[phan_loai_the_lam_sang]]="Choáng tim", 1, 0)</f>
        <v>0</v>
      </c>
      <c r="S152" s="2" t="s">
        <v>45</v>
      </c>
      <c r="T152" s="15">
        <v>108</v>
      </c>
      <c r="U152" s="15">
        <v>160</v>
      </c>
      <c r="V152" s="15">
        <v>100</v>
      </c>
      <c r="W152" s="15">
        <f>IF(Form_Responses1[[#This Row],[hcvc]]="Không", 0, 1)</f>
        <v>1</v>
      </c>
      <c r="X152" s="2" t="s">
        <v>22</v>
      </c>
      <c r="Y152" s="15">
        <f>IF(Form_Responses1[[#This Row],[suy_ho_hap]]="Không", 0, 1)</f>
        <v>1</v>
      </c>
      <c r="Z152" s="2" t="s">
        <v>22</v>
      </c>
      <c r="AA152" s="15">
        <f>IF(Form_Responses1[[#This Row],[rung_nhi]]="Không", 0, 1)</f>
        <v>0</v>
      </c>
      <c r="AB152" s="2" t="s">
        <v>21</v>
      </c>
      <c r="AC152" s="15">
        <v>437</v>
      </c>
      <c r="AD152" s="15">
        <v>7.0000000000000007E-2</v>
      </c>
      <c r="AE152" s="15">
        <v>11.7</v>
      </c>
      <c r="AF152" s="15">
        <v>141</v>
      </c>
      <c r="AG152" s="15">
        <v>298</v>
      </c>
      <c r="AH152" s="15">
        <v>142</v>
      </c>
      <c r="AI152" s="15">
        <v>3.7</v>
      </c>
      <c r="AJ152" s="15">
        <v>18</v>
      </c>
      <c r="AK152" s="15">
        <v>1.1000000000000001</v>
      </c>
      <c r="AL152" s="2" t="s">
        <v>21</v>
      </c>
      <c r="AM152" s="2">
        <v>15001.2</v>
      </c>
      <c r="AN152" s="6">
        <f>IF(Form_Responses1[[#This Row],[NT_proBNP &gt; 35000]]="Có", 35001, Form_Responses1[[#This Row],[NT_ProBNP]])</f>
        <v>15001.2</v>
      </c>
      <c r="AO152" s="27">
        <f>IF(Form_Responses1[[#This Row],[NT_proBNP &gt; 35000]]="Có", 1, 0)</f>
        <v>0</v>
      </c>
      <c r="AP152" s="27">
        <v>317.8</v>
      </c>
      <c r="AQ152" s="15">
        <v>26</v>
      </c>
      <c r="AR152" s="15">
        <v>13</v>
      </c>
      <c r="AS152" s="15">
        <v>91</v>
      </c>
      <c r="AT152" s="18"/>
      <c r="AU152" s="15">
        <v>53</v>
      </c>
      <c r="AV152" s="15">
        <v>60</v>
      </c>
      <c r="AW152" s="15">
        <v>32</v>
      </c>
      <c r="AX152" s="18"/>
      <c r="AY152" s="26">
        <f>IF(Form_Responses1[[#This Row],[ket_cuc]]="Không tử vong", 0, 1)</f>
        <v>0</v>
      </c>
      <c r="AZ152" s="2" t="s">
        <v>24</v>
      </c>
      <c r="BA152" s="32">
        <v>38</v>
      </c>
      <c r="BB152" s="32">
        <v>6.394804653337563E-2</v>
      </c>
    </row>
    <row r="153" spans="1:54" ht="13" x14ac:dyDescent="0.15">
      <c r="A153" s="1" t="s">
        <v>207</v>
      </c>
      <c r="B153" s="6">
        <v>61</v>
      </c>
      <c r="C153" s="6">
        <f>IF(Form_Responses1[[#This Row],[gioi_tinh]]="Nữ", 0, 1)</f>
        <v>0</v>
      </c>
      <c r="D153" s="1" t="s">
        <v>20</v>
      </c>
      <c r="E153" s="6">
        <v>22</v>
      </c>
      <c r="F153" s="6">
        <f>IF(Form_Responses1[[#This Row],[dai_thao_duong]]="Không", 0, 1)</f>
        <v>1</v>
      </c>
      <c r="G153" s="1" t="s">
        <v>22</v>
      </c>
      <c r="H153" s="6">
        <f t="shared" si="4"/>
        <v>1</v>
      </c>
      <c r="I153" s="1" t="s">
        <v>22</v>
      </c>
      <c r="J153" s="6">
        <f>IF(Form_Responses1[[#This Row],[hoi_chung_vanh_man]]="Không", 0, 1)</f>
        <v>0</v>
      </c>
      <c r="K153" s="1" t="s">
        <v>21</v>
      </c>
      <c r="L153" s="6">
        <f>IF(Form_Responses1[[#This Row],[ckd]]="Không", 0, 1)</f>
        <v>1</v>
      </c>
      <c r="M153" s="1" t="s">
        <v>22</v>
      </c>
      <c r="N153" s="6">
        <f t="shared" si="5"/>
        <v>0</v>
      </c>
      <c r="O153" s="1" t="s">
        <v>21</v>
      </c>
      <c r="P153" s="6">
        <f>IF(Form_Responses1[[#This Row],[phan_loai_the_lam_sang]]="Suy tim mất bù cấp", 1,0)</f>
        <v>1</v>
      </c>
      <c r="Q153" s="6">
        <f>IF(Form_Responses1[[#This Row],[phan_loai_the_lam_sang]]="Phù phổi cấp", 1, 0)</f>
        <v>0</v>
      </c>
      <c r="R153" s="6">
        <f>IF(Form_Responses1[[#This Row],[phan_loai_the_lam_sang]]="Choáng tim", 1, 0)</f>
        <v>0</v>
      </c>
      <c r="S153" s="1" t="s">
        <v>23</v>
      </c>
      <c r="T153" s="6">
        <v>86</v>
      </c>
      <c r="U153" s="6">
        <v>160</v>
      </c>
      <c r="V153" s="6">
        <v>80</v>
      </c>
      <c r="W153" s="6">
        <f>IF(Form_Responses1[[#This Row],[hcvc]]="Không", 0, 1)</f>
        <v>0</v>
      </c>
      <c r="X153" s="1" t="s">
        <v>21</v>
      </c>
      <c r="Y153" s="6">
        <f>IF(Form_Responses1[[#This Row],[suy_ho_hap]]="Không", 0, 1)</f>
        <v>1</v>
      </c>
      <c r="Z153" s="1" t="s">
        <v>22</v>
      </c>
      <c r="AA153" s="6">
        <f>IF(Form_Responses1[[#This Row],[rung_nhi]]="Không", 0, 1)</f>
        <v>0</v>
      </c>
      <c r="AB153" s="1" t="s">
        <v>21</v>
      </c>
      <c r="AC153" s="6">
        <v>424</v>
      </c>
      <c r="AD153" s="6">
        <v>7.0000000000000007E-2</v>
      </c>
      <c r="AE153" s="6">
        <v>9.92</v>
      </c>
      <c r="AF153" s="6">
        <v>100</v>
      </c>
      <c r="AG153" s="6">
        <v>359</v>
      </c>
      <c r="AH153" s="6">
        <v>130</v>
      </c>
      <c r="AI153" s="6">
        <v>3.5</v>
      </c>
      <c r="AJ153" s="6">
        <v>51</v>
      </c>
      <c r="AK153" s="6">
        <v>2.58</v>
      </c>
      <c r="AL153" s="1" t="s">
        <v>22</v>
      </c>
      <c r="AM153" s="10"/>
      <c r="AN153" s="6">
        <f>IF(Form_Responses1[[#This Row],[NT_proBNP &gt; 35000]]="Có", 35001, Form_Responses1[[#This Row],[NT_ProBNP]])</f>
        <v>35001</v>
      </c>
      <c r="AO153" s="13">
        <f>IF(Form_Responses1[[#This Row],[NT_proBNP &gt; 35000]]="Có", 1, 0)</f>
        <v>1</v>
      </c>
      <c r="AP153" s="6">
        <v>393.8</v>
      </c>
      <c r="AQ153" s="6">
        <v>524</v>
      </c>
      <c r="AR153" s="6">
        <v>531</v>
      </c>
      <c r="AS153" s="6">
        <v>125</v>
      </c>
      <c r="AT153" s="27">
        <v>31</v>
      </c>
      <c r="AU153" s="6">
        <v>34</v>
      </c>
      <c r="AV153" s="6">
        <v>46</v>
      </c>
      <c r="AW153" s="6">
        <v>32</v>
      </c>
      <c r="AX153" s="27">
        <v>37</v>
      </c>
      <c r="AY153" s="29">
        <f>IF(Form_Responses1[[#This Row],[ket_cuc]]="Không tử vong", 0, 1)</f>
        <v>0</v>
      </c>
      <c r="AZ153" s="1" t="s">
        <v>24</v>
      </c>
      <c r="BA153" s="32">
        <v>41</v>
      </c>
      <c r="BB153" s="32">
        <v>9.1837718216846859E-2</v>
      </c>
    </row>
    <row r="154" spans="1:54" ht="13" x14ac:dyDescent="0.15">
      <c r="A154" s="2" t="s">
        <v>346</v>
      </c>
      <c r="B154" s="15">
        <v>30</v>
      </c>
      <c r="C154" s="15">
        <f>IF(Form_Responses1[[#This Row],[gioi_tinh]]="Nữ", 0, 1)</f>
        <v>1</v>
      </c>
      <c r="D154" s="2" t="s">
        <v>26</v>
      </c>
      <c r="E154" s="15">
        <v>22.8</v>
      </c>
      <c r="F154" s="15">
        <f>IF(Form_Responses1[[#This Row],[dai_thao_duong]]="Không", 0, 1)</f>
        <v>0</v>
      </c>
      <c r="G154" s="2" t="s">
        <v>21</v>
      </c>
      <c r="H154" s="15">
        <f t="shared" si="4"/>
        <v>0</v>
      </c>
      <c r="I154" s="2" t="s">
        <v>21</v>
      </c>
      <c r="J154" s="15">
        <f>IF(Form_Responses1[[#This Row],[hoi_chung_vanh_man]]="Không", 0, 1)</f>
        <v>0</v>
      </c>
      <c r="K154" s="2" t="s">
        <v>21</v>
      </c>
      <c r="L154" s="15">
        <f>IF(Form_Responses1[[#This Row],[ckd]]="Không", 0, 1)</f>
        <v>0</v>
      </c>
      <c r="M154" s="2" t="s">
        <v>21</v>
      </c>
      <c r="N154" s="15">
        <f t="shared" si="5"/>
        <v>0</v>
      </c>
      <c r="O154" s="2" t="s">
        <v>21</v>
      </c>
      <c r="P154" s="15">
        <f>IF(Form_Responses1[[#This Row],[phan_loai_the_lam_sang]]="Suy tim mất bù cấp", 1,0)</f>
        <v>0</v>
      </c>
      <c r="Q154" s="15">
        <f>IF(Form_Responses1[[#This Row],[phan_loai_the_lam_sang]]="Phù phổi cấp", 1, 0)</f>
        <v>1</v>
      </c>
      <c r="R154" s="15">
        <f>IF(Form_Responses1[[#This Row],[phan_loai_the_lam_sang]]="Choáng tim", 1, 0)</f>
        <v>0</v>
      </c>
      <c r="S154" s="2" t="s">
        <v>45</v>
      </c>
      <c r="T154" s="15">
        <v>138</v>
      </c>
      <c r="U154" s="15">
        <v>110</v>
      </c>
      <c r="V154" s="15">
        <v>70</v>
      </c>
      <c r="W154" s="15">
        <f>IF(Form_Responses1[[#This Row],[hcvc]]="Không", 0, 1)</f>
        <v>0</v>
      </c>
      <c r="X154" s="2" t="s">
        <v>21</v>
      </c>
      <c r="Y154" s="15">
        <f>IF(Form_Responses1[[#This Row],[suy_ho_hap]]="Không", 0, 1)</f>
        <v>1</v>
      </c>
      <c r="Z154" s="2" t="s">
        <v>22</v>
      </c>
      <c r="AA154" s="15">
        <f>IF(Form_Responses1[[#This Row],[rung_nhi]]="Không", 0, 1)</f>
        <v>0</v>
      </c>
      <c r="AB154" s="2" t="s">
        <v>21</v>
      </c>
      <c r="AC154" s="15">
        <v>404</v>
      </c>
      <c r="AD154" s="15">
        <v>0.09</v>
      </c>
      <c r="AE154" s="15">
        <v>26.6</v>
      </c>
      <c r="AF154" s="15">
        <v>179</v>
      </c>
      <c r="AG154" s="15">
        <v>244</v>
      </c>
      <c r="AH154" s="15">
        <v>136</v>
      </c>
      <c r="AI154" s="15">
        <v>3.5</v>
      </c>
      <c r="AJ154" s="15">
        <v>26</v>
      </c>
      <c r="AK154" s="15">
        <v>1.05</v>
      </c>
      <c r="AL154" s="2" t="s">
        <v>21</v>
      </c>
      <c r="AM154" s="2">
        <v>8907.2000000000007</v>
      </c>
      <c r="AN154" s="6">
        <f>IF(Form_Responses1[[#This Row],[NT_proBNP &gt; 35000]]="Có", 35001, Form_Responses1[[#This Row],[NT_ProBNP]])</f>
        <v>8907.2000000000007</v>
      </c>
      <c r="AO154" s="15">
        <f>IF(Form_Responses1[[#This Row],[NT_proBNP &gt; 35000]]="Có", 1, 0)</f>
        <v>0</v>
      </c>
      <c r="AP154" s="15">
        <v>18986.400000000001</v>
      </c>
      <c r="AQ154" s="15">
        <v>247</v>
      </c>
      <c r="AR154" s="15">
        <v>98</v>
      </c>
      <c r="AS154" s="15">
        <v>133</v>
      </c>
      <c r="AT154" s="18"/>
      <c r="AU154" s="15">
        <v>36.6</v>
      </c>
      <c r="AV154" s="15">
        <v>43.3</v>
      </c>
      <c r="AW154" s="15">
        <v>32</v>
      </c>
      <c r="AX154" s="18"/>
      <c r="AY154" s="26">
        <f>IF(Form_Responses1[[#This Row],[ket_cuc]]="Không tử vong", 0, 1)</f>
        <v>0</v>
      </c>
      <c r="AZ154" s="2" t="s">
        <v>24</v>
      </c>
      <c r="BA154" s="32">
        <v>40</v>
      </c>
      <c r="BB154" s="32">
        <v>5.5148407536372714E-2</v>
      </c>
    </row>
    <row r="155" spans="1:54" ht="13" x14ac:dyDescent="0.15">
      <c r="A155" s="1" t="s">
        <v>213</v>
      </c>
      <c r="B155" s="6">
        <v>34</v>
      </c>
      <c r="C155" s="6">
        <f>IF(Form_Responses1[[#This Row],[gioi_tinh]]="Nữ", 0, 1)</f>
        <v>0</v>
      </c>
      <c r="D155" s="1" t="s">
        <v>20</v>
      </c>
      <c r="E155" s="6">
        <v>18.7</v>
      </c>
      <c r="F155" s="6">
        <f>IF(Form_Responses1[[#This Row],[dai_thao_duong]]="Không", 0, 1)</f>
        <v>0</v>
      </c>
      <c r="G155" s="1" t="s">
        <v>21</v>
      </c>
      <c r="H155" s="6">
        <f t="shared" si="4"/>
        <v>0</v>
      </c>
      <c r="I155" s="1" t="s">
        <v>21</v>
      </c>
      <c r="J155" s="6">
        <f>IF(Form_Responses1[[#This Row],[hoi_chung_vanh_man]]="Không", 0, 1)</f>
        <v>0</v>
      </c>
      <c r="K155" s="1" t="s">
        <v>21</v>
      </c>
      <c r="L155" s="6">
        <f>IF(Form_Responses1[[#This Row],[ckd]]="Không", 0, 1)</f>
        <v>0</v>
      </c>
      <c r="M155" s="1" t="s">
        <v>21</v>
      </c>
      <c r="N155" s="6">
        <f t="shared" si="5"/>
        <v>0</v>
      </c>
      <c r="O155" s="1" t="s">
        <v>21</v>
      </c>
      <c r="P155" s="6">
        <f>IF(Form_Responses1[[#This Row],[phan_loai_the_lam_sang]]="Suy tim mất bù cấp", 1,0)</f>
        <v>0</v>
      </c>
      <c r="Q155" s="6">
        <f>IF(Form_Responses1[[#This Row],[phan_loai_the_lam_sang]]="Phù phổi cấp", 1, 0)</f>
        <v>0</v>
      </c>
      <c r="R155" s="6">
        <f>IF(Form_Responses1[[#This Row],[phan_loai_the_lam_sang]]="Choáng tim", 1, 0)</f>
        <v>1</v>
      </c>
      <c r="S155" s="1" t="s">
        <v>28</v>
      </c>
      <c r="T155" s="6">
        <v>82</v>
      </c>
      <c r="U155" s="6">
        <v>90</v>
      </c>
      <c r="V155" s="6">
        <v>60</v>
      </c>
      <c r="W155" s="6">
        <f>IF(Form_Responses1[[#This Row],[hcvc]]="Không", 0, 1)</f>
        <v>0</v>
      </c>
      <c r="X155" s="1" t="s">
        <v>21</v>
      </c>
      <c r="Y155" s="6">
        <f>IF(Form_Responses1[[#This Row],[suy_ho_hap]]="Không", 0, 1)</f>
        <v>0</v>
      </c>
      <c r="Z155" s="1" t="s">
        <v>21</v>
      </c>
      <c r="AA155" s="6">
        <f>IF(Form_Responses1[[#This Row],[rung_nhi]]="Không", 0, 1)</f>
        <v>0</v>
      </c>
      <c r="AB155" s="1" t="s">
        <v>21</v>
      </c>
      <c r="AC155" s="6">
        <v>470</v>
      </c>
      <c r="AD155" s="6">
        <v>0.05</v>
      </c>
      <c r="AE155" s="6">
        <v>5.25</v>
      </c>
      <c r="AF155" s="6">
        <v>132</v>
      </c>
      <c r="AG155" s="6">
        <v>12</v>
      </c>
      <c r="AH155" s="6">
        <v>131</v>
      </c>
      <c r="AI155" s="6">
        <v>3.8</v>
      </c>
      <c r="AJ155" s="6">
        <v>6</v>
      </c>
      <c r="AK155" s="6">
        <v>0.32</v>
      </c>
      <c r="AL155" s="1" t="s">
        <v>21</v>
      </c>
      <c r="AM155" s="1">
        <v>2404</v>
      </c>
      <c r="AN155" s="6">
        <f>IF(Form_Responses1[[#This Row],[NT_proBNP &gt; 35000]]="Có", 35001, Form_Responses1[[#This Row],[NT_ProBNP]])</f>
        <v>2404</v>
      </c>
      <c r="AO155" s="6">
        <f>IF(Form_Responses1[[#This Row],[NT_proBNP &gt; 35000]]="Có", 1, 0)</f>
        <v>0</v>
      </c>
      <c r="AP155" s="6">
        <v>5155.1000000000004</v>
      </c>
      <c r="AQ155" s="6">
        <v>207</v>
      </c>
      <c r="AR155" s="6">
        <v>100</v>
      </c>
      <c r="AS155" s="6">
        <v>217</v>
      </c>
      <c r="AT155" s="13">
        <v>28</v>
      </c>
      <c r="AU155" s="6">
        <v>35.799999999999997</v>
      </c>
      <c r="AV155" s="6">
        <v>42.3</v>
      </c>
      <c r="AW155" s="6">
        <v>32</v>
      </c>
      <c r="AX155" s="6">
        <v>15</v>
      </c>
      <c r="AY155" s="24">
        <f>IF(Form_Responses1[[#This Row],[ket_cuc]]="Không tử vong", 0, 1)</f>
        <v>0</v>
      </c>
      <c r="AZ155" s="1" t="s">
        <v>24</v>
      </c>
      <c r="BA155" s="32">
        <v>34</v>
      </c>
      <c r="BB155" s="32">
        <v>2.4330338452066339E-2</v>
      </c>
    </row>
    <row r="156" spans="1:54" ht="13" x14ac:dyDescent="0.15">
      <c r="A156" s="2" t="s">
        <v>306</v>
      </c>
      <c r="B156" s="15">
        <v>63</v>
      </c>
      <c r="C156" s="15">
        <f>IF(Form_Responses1[[#This Row],[gioi_tinh]]="Nữ", 0, 1)</f>
        <v>0</v>
      </c>
      <c r="D156" s="2" t="s">
        <v>20</v>
      </c>
      <c r="E156" s="15">
        <v>16</v>
      </c>
      <c r="F156" s="15">
        <f>IF(Form_Responses1[[#This Row],[dai_thao_duong]]="Không", 0, 1)</f>
        <v>1</v>
      </c>
      <c r="G156" s="2" t="s">
        <v>22</v>
      </c>
      <c r="H156" s="15">
        <f t="shared" si="4"/>
        <v>1</v>
      </c>
      <c r="I156" s="2" t="s">
        <v>22</v>
      </c>
      <c r="J156" s="15">
        <f>IF(Form_Responses1[[#This Row],[hoi_chung_vanh_man]]="Không", 0, 1)</f>
        <v>1</v>
      </c>
      <c r="K156" s="2" t="s">
        <v>22</v>
      </c>
      <c r="L156" s="15">
        <f>IF(Form_Responses1[[#This Row],[ckd]]="Không", 0, 1)</f>
        <v>0</v>
      </c>
      <c r="M156" s="2" t="s">
        <v>21</v>
      </c>
      <c r="N156" s="15">
        <f t="shared" si="5"/>
        <v>0</v>
      </c>
      <c r="O156" s="2" t="s">
        <v>21</v>
      </c>
      <c r="P156" s="15">
        <f>IF(Form_Responses1[[#This Row],[phan_loai_the_lam_sang]]="Suy tim mất bù cấp", 1,0)</f>
        <v>1</v>
      </c>
      <c r="Q156" s="15">
        <f>IF(Form_Responses1[[#This Row],[phan_loai_the_lam_sang]]="Phù phổi cấp", 1, 0)</f>
        <v>0</v>
      </c>
      <c r="R156" s="15">
        <f>IF(Form_Responses1[[#This Row],[phan_loai_the_lam_sang]]="Choáng tim", 1, 0)</f>
        <v>0</v>
      </c>
      <c r="S156" s="2" t="s">
        <v>23</v>
      </c>
      <c r="T156" s="15">
        <v>90</v>
      </c>
      <c r="U156" s="15">
        <v>130</v>
      </c>
      <c r="V156" s="15">
        <v>90</v>
      </c>
      <c r="W156" s="15">
        <f>IF(Form_Responses1[[#This Row],[hcvc]]="Không", 0, 1)</f>
        <v>0</v>
      </c>
      <c r="X156" s="2" t="s">
        <v>21</v>
      </c>
      <c r="Y156" s="15">
        <f>IF(Form_Responses1[[#This Row],[suy_ho_hap]]="Không", 0, 1)</f>
        <v>1</v>
      </c>
      <c r="Z156" s="2" t="s">
        <v>22</v>
      </c>
      <c r="AA156" s="15">
        <f>IF(Form_Responses1[[#This Row],[rung_nhi]]="Không", 0, 1)</f>
        <v>0</v>
      </c>
      <c r="AB156" s="2" t="s">
        <v>21</v>
      </c>
      <c r="AC156" s="15">
        <v>388</v>
      </c>
      <c r="AD156" s="15">
        <v>0.09</v>
      </c>
      <c r="AE156" s="15">
        <v>9.43</v>
      </c>
      <c r="AF156" s="15">
        <v>72</v>
      </c>
      <c r="AG156" s="15">
        <v>425</v>
      </c>
      <c r="AH156" s="15">
        <v>136</v>
      </c>
      <c r="AI156" s="15">
        <v>4.5</v>
      </c>
      <c r="AJ156" s="15">
        <v>20.100000000000001</v>
      </c>
      <c r="AK156" s="15">
        <v>2.82</v>
      </c>
      <c r="AL156" s="2" t="s">
        <v>22</v>
      </c>
      <c r="AN156" s="6">
        <f>IF(Form_Responses1[[#This Row],[NT_proBNP &gt; 35000]]="Có", 35001, Form_Responses1[[#This Row],[NT_ProBNP]])</f>
        <v>35001</v>
      </c>
      <c r="AO156" s="5">
        <f>IF(Form_Responses1[[#This Row],[NT_proBNP &gt; 35000]]="Có", 1, 0)</f>
        <v>1</v>
      </c>
      <c r="AP156" s="15">
        <v>56.9</v>
      </c>
      <c r="AQ156" s="15">
        <v>18</v>
      </c>
      <c r="AR156" s="15">
        <v>9</v>
      </c>
      <c r="AS156" s="15">
        <v>172</v>
      </c>
      <c r="AT156" s="15">
        <v>33</v>
      </c>
      <c r="AU156" s="27">
        <v>32</v>
      </c>
      <c r="AV156" s="27">
        <v>43</v>
      </c>
      <c r="AW156" s="15">
        <v>31</v>
      </c>
      <c r="AX156" s="18"/>
      <c r="AY156" s="26">
        <f>IF(Form_Responses1[[#This Row],[ket_cuc]]="Không tử vong", 0, 1)</f>
        <v>0</v>
      </c>
      <c r="AZ156" s="2" t="s">
        <v>24</v>
      </c>
      <c r="BA156" s="32">
        <v>40</v>
      </c>
      <c r="BB156" s="32">
        <v>4.6155699426204351E-2</v>
      </c>
    </row>
    <row r="157" spans="1:54" ht="13" x14ac:dyDescent="0.15">
      <c r="A157" s="1" t="s">
        <v>329</v>
      </c>
      <c r="B157" s="6">
        <v>77</v>
      </c>
      <c r="C157" s="6">
        <f>IF(Form_Responses1[[#This Row],[gioi_tinh]]="Nữ", 0, 1)</f>
        <v>0</v>
      </c>
      <c r="D157" s="1" t="s">
        <v>20</v>
      </c>
      <c r="E157" s="6">
        <v>25</v>
      </c>
      <c r="F157" s="6">
        <f>IF(Form_Responses1[[#This Row],[dai_thao_duong]]="Không", 0, 1)</f>
        <v>1</v>
      </c>
      <c r="G157" s="1" t="s">
        <v>22</v>
      </c>
      <c r="H157" s="6">
        <f t="shared" si="4"/>
        <v>1</v>
      </c>
      <c r="I157" s="1" t="s">
        <v>22</v>
      </c>
      <c r="J157" s="6">
        <f>IF(Form_Responses1[[#This Row],[hoi_chung_vanh_man]]="Không", 0, 1)</f>
        <v>0</v>
      </c>
      <c r="K157" s="1" t="s">
        <v>21</v>
      </c>
      <c r="L157" s="6">
        <f>IF(Form_Responses1[[#This Row],[ckd]]="Không", 0, 1)</f>
        <v>0</v>
      </c>
      <c r="M157" s="1" t="s">
        <v>21</v>
      </c>
      <c r="N157" s="6">
        <f t="shared" si="5"/>
        <v>0</v>
      </c>
      <c r="O157" s="1" t="s">
        <v>21</v>
      </c>
      <c r="P157" s="6">
        <f>IF(Form_Responses1[[#This Row],[phan_loai_the_lam_sang]]="Suy tim mất bù cấp", 1,0)</f>
        <v>1</v>
      </c>
      <c r="Q157" s="6">
        <f>IF(Form_Responses1[[#This Row],[phan_loai_the_lam_sang]]="Phù phổi cấp", 1, 0)</f>
        <v>0</v>
      </c>
      <c r="R157" s="6">
        <f>IF(Form_Responses1[[#This Row],[phan_loai_the_lam_sang]]="Choáng tim", 1, 0)</f>
        <v>0</v>
      </c>
      <c r="S157" s="1" t="s">
        <v>23</v>
      </c>
      <c r="T157" s="6">
        <v>78</v>
      </c>
      <c r="U157" s="6">
        <v>130</v>
      </c>
      <c r="V157" s="6">
        <v>80</v>
      </c>
      <c r="W157" s="6">
        <f>IF(Form_Responses1[[#This Row],[hcvc]]="Không", 0, 1)</f>
        <v>0</v>
      </c>
      <c r="X157" s="1" t="s">
        <v>21</v>
      </c>
      <c r="Y157" s="6">
        <f>IF(Form_Responses1[[#This Row],[suy_ho_hap]]="Không", 0, 1)</f>
        <v>1</v>
      </c>
      <c r="Z157" s="1" t="s">
        <v>22</v>
      </c>
      <c r="AA157" s="6">
        <f>IF(Form_Responses1[[#This Row],[rung_nhi]]="Không", 0, 1)</f>
        <v>0</v>
      </c>
      <c r="AB157" s="1" t="s">
        <v>21</v>
      </c>
      <c r="AC157" s="6">
        <v>447</v>
      </c>
      <c r="AD157" s="6">
        <v>0.08</v>
      </c>
      <c r="AE157" s="6">
        <v>8.58</v>
      </c>
      <c r="AF157" s="6">
        <v>106</v>
      </c>
      <c r="AG157" s="6">
        <v>227</v>
      </c>
      <c r="AH157" s="6">
        <v>134</v>
      </c>
      <c r="AI157" s="6">
        <v>3.8</v>
      </c>
      <c r="AJ157" s="6">
        <v>15</v>
      </c>
      <c r="AK157" s="6">
        <v>0.85</v>
      </c>
      <c r="AL157" s="1" t="s">
        <v>21</v>
      </c>
      <c r="AM157" s="1">
        <v>16630.25</v>
      </c>
      <c r="AN157" s="6">
        <f>IF(Form_Responses1[[#This Row],[NT_proBNP &gt; 35000]]="Có", 35001, Form_Responses1[[#This Row],[NT_ProBNP]])</f>
        <v>16630.25</v>
      </c>
      <c r="AO157" s="6">
        <f>IF(Form_Responses1[[#This Row],[NT_proBNP &gt; 35000]]="Có", 1, 0)</f>
        <v>0</v>
      </c>
      <c r="AP157" s="6">
        <v>286.7</v>
      </c>
      <c r="AQ157" s="6">
        <v>30</v>
      </c>
      <c r="AR157" s="6">
        <v>10</v>
      </c>
      <c r="AS157" s="6">
        <v>276</v>
      </c>
      <c r="AT157" s="6">
        <v>50</v>
      </c>
      <c r="AU157" s="6">
        <v>54</v>
      </c>
      <c r="AV157" s="6">
        <v>62.9</v>
      </c>
      <c r="AW157" s="6">
        <v>31</v>
      </c>
      <c r="AX157" s="27">
        <v>64</v>
      </c>
      <c r="AY157" s="29">
        <f>IF(Form_Responses1[[#This Row],[ket_cuc]]="Không tử vong", 0, 1)</f>
        <v>0</v>
      </c>
      <c r="AZ157" s="1" t="s">
        <v>24</v>
      </c>
      <c r="BA157" s="32">
        <v>37</v>
      </c>
      <c r="BB157" s="32">
        <v>6.3056017416275645E-2</v>
      </c>
    </row>
    <row r="158" spans="1:54" ht="13" x14ac:dyDescent="0.15">
      <c r="A158" s="2" t="s">
        <v>208</v>
      </c>
      <c r="B158" s="15">
        <v>71</v>
      </c>
      <c r="C158" s="15">
        <f>IF(Form_Responses1[[#This Row],[gioi_tinh]]="Nữ", 0, 1)</f>
        <v>1</v>
      </c>
      <c r="D158" s="2" t="s">
        <v>26</v>
      </c>
      <c r="E158" s="15">
        <v>17.3</v>
      </c>
      <c r="F158" s="15">
        <f>IF(Form_Responses1[[#This Row],[dai_thao_duong]]="Không", 0, 1)</f>
        <v>0</v>
      </c>
      <c r="G158" s="2" t="s">
        <v>21</v>
      </c>
      <c r="H158" s="15">
        <f t="shared" si="4"/>
        <v>0</v>
      </c>
      <c r="I158" s="2" t="s">
        <v>21</v>
      </c>
      <c r="J158" s="15">
        <f>IF(Form_Responses1[[#This Row],[hoi_chung_vanh_man]]="Không", 0, 1)</f>
        <v>1</v>
      </c>
      <c r="K158" s="2" t="s">
        <v>22</v>
      </c>
      <c r="L158" s="15">
        <f>IF(Form_Responses1[[#This Row],[ckd]]="Không", 0, 1)</f>
        <v>0</v>
      </c>
      <c r="M158" s="2" t="s">
        <v>21</v>
      </c>
      <c r="N158" s="15">
        <f t="shared" si="5"/>
        <v>0</v>
      </c>
      <c r="O158" s="2" t="s">
        <v>21</v>
      </c>
      <c r="P158" s="15">
        <f>IF(Form_Responses1[[#This Row],[phan_loai_the_lam_sang]]="Suy tim mất bù cấp", 1,0)</f>
        <v>0</v>
      </c>
      <c r="Q158" s="15">
        <f>IF(Form_Responses1[[#This Row],[phan_loai_the_lam_sang]]="Phù phổi cấp", 1, 0)</f>
        <v>1</v>
      </c>
      <c r="R158" s="15">
        <f>IF(Form_Responses1[[#This Row],[phan_loai_the_lam_sang]]="Choáng tim", 1, 0)</f>
        <v>0</v>
      </c>
      <c r="S158" s="2" t="s">
        <v>45</v>
      </c>
      <c r="T158" s="15">
        <v>96</v>
      </c>
      <c r="U158" s="15">
        <v>100</v>
      </c>
      <c r="V158" s="15">
        <v>60</v>
      </c>
      <c r="W158" s="15">
        <f>IF(Form_Responses1[[#This Row],[hcvc]]="Không", 0, 1)</f>
        <v>0</v>
      </c>
      <c r="X158" s="2" t="s">
        <v>21</v>
      </c>
      <c r="Y158" s="15">
        <f>IF(Form_Responses1[[#This Row],[suy_ho_hap]]="Không", 0, 1)</f>
        <v>1</v>
      </c>
      <c r="Z158" s="2" t="s">
        <v>22</v>
      </c>
      <c r="AA158" s="15">
        <f>IF(Form_Responses1[[#This Row],[rung_nhi]]="Không", 0, 1)</f>
        <v>0</v>
      </c>
      <c r="AB158" s="2" t="s">
        <v>21</v>
      </c>
      <c r="AC158" s="15">
        <v>425</v>
      </c>
      <c r="AD158" s="15">
        <v>0.1</v>
      </c>
      <c r="AE158" s="15">
        <v>10.69</v>
      </c>
      <c r="AF158" s="15">
        <v>113</v>
      </c>
      <c r="AG158" s="15">
        <v>182</v>
      </c>
      <c r="AH158" s="15">
        <v>133</v>
      </c>
      <c r="AI158" s="15">
        <v>4.0999999999999996</v>
      </c>
      <c r="AJ158" s="15">
        <v>46</v>
      </c>
      <c r="AK158" s="15">
        <v>1.87</v>
      </c>
      <c r="AL158" s="2" t="s">
        <v>21</v>
      </c>
      <c r="AM158" s="2">
        <v>16256</v>
      </c>
      <c r="AN158" s="6">
        <f>IF(Form_Responses1[[#This Row],[NT_proBNP &gt; 35000]]="Có", 35001, Form_Responses1[[#This Row],[NT_ProBNP]])</f>
        <v>16256</v>
      </c>
      <c r="AO158" s="27">
        <f>IF(Form_Responses1[[#This Row],[NT_proBNP &gt; 35000]]="Có", 1, 0)</f>
        <v>0</v>
      </c>
      <c r="AP158" s="27">
        <v>619</v>
      </c>
      <c r="AQ158" s="15">
        <v>49</v>
      </c>
      <c r="AR158" s="15">
        <v>50</v>
      </c>
      <c r="AS158" s="15">
        <v>129</v>
      </c>
      <c r="AT158" s="15">
        <v>42</v>
      </c>
      <c r="AU158" s="15">
        <v>55</v>
      </c>
      <c r="AV158" s="15">
        <v>63</v>
      </c>
      <c r="AW158" s="15">
        <v>31</v>
      </c>
      <c r="AX158" s="15">
        <v>30</v>
      </c>
      <c r="AY158" s="22">
        <f>IF(Form_Responses1[[#This Row],[ket_cuc]]="Không tử vong", 0, 1)</f>
        <v>0</v>
      </c>
      <c r="AZ158" s="2" t="s">
        <v>24</v>
      </c>
      <c r="BA158" s="32">
        <v>55</v>
      </c>
      <c r="BB158" s="32">
        <v>0.16876574799274141</v>
      </c>
    </row>
    <row r="159" spans="1:54" ht="13" x14ac:dyDescent="0.15">
      <c r="A159" s="1" t="s">
        <v>226</v>
      </c>
      <c r="B159" s="6">
        <v>79</v>
      </c>
      <c r="C159" s="6">
        <f>IF(Form_Responses1[[#This Row],[gioi_tinh]]="Nữ", 0, 1)</f>
        <v>1</v>
      </c>
      <c r="D159" s="1" t="s">
        <v>26</v>
      </c>
      <c r="E159" s="6">
        <v>24</v>
      </c>
      <c r="F159" s="6">
        <f>IF(Form_Responses1[[#This Row],[dai_thao_duong]]="Không", 0, 1)</f>
        <v>0</v>
      </c>
      <c r="G159" s="1" t="s">
        <v>21</v>
      </c>
      <c r="H159" s="6">
        <f t="shared" si="4"/>
        <v>1</v>
      </c>
      <c r="I159" s="1" t="s">
        <v>22</v>
      </c>
      <c r="J159" s="6">
        <f>IF(Form_Responses1[[#This Row],[hoi_chung_vanh_man]]="Không", 0, 1)</f>
        <v>1</v>
      </c>
      <c r="K159" s="1" t="s">
        <v>22</v>
      </c>
      <c r="L159" s="6">
        <f>IF(Form_Responses1[[#This Row],[ckd]]="Không", 0, 1)</f>
        <v>0</v>
      </c>
      <c r="M159" s="1" t="s">
        <v>21</v>
      </c>
      <c r="N159" s="6">
        <f t="shared" si="5"/>
        <v>0</v>
      </c>
      <c r="O159" s="1" t="s">
        <v>21</v>
      </c>
      <c r="P159" s="6">
        <f>IF(Form_Responses1[[#This Row],[phan_loai_the_lam_sang]]="Suy tim mất bù cấp", 1,0)</f>
        <v>1</v>
      </c>
      <c r="Q159" s="6">
        <f>IF(Form_Responses1[[#This Row],[phan_loai_the_lam_sang]]="Phù phổi cấp", 1, 0)</f>
        <v>0</v>
      </c>
      <c r="R159" s="6">
        <f>IF(Form_Responses1[[#This Row],[phan_loai_the_lam_sang]]="Choáng tim", 1, 0)</f>
        <v>0</v>
      </c>
      <c r="S159" s="1" t="s">
        <v>23</v>
      </c>
      <c r="T159" s="6">
        <v>92</v>
      </c>
      <c r="U159" s="6">
        <v>110</v>
      </c>
      <c r="V159" s="6">
        <v>70</v>
      </c>
      <c r="W159" s="6">
        <f>IF(Form_Responses1[[#This Row],[hcvc]]="Không", 0, 1)</f>
        <v>0</v>
      </c>
      <c r="X159" s="1" t="s">
        <v>21</v>
      </c>
      <c r="Y159" s="6">
        <f>IF(Form_Responses1[[#This Row],[suy_ho_hap]]="Không", 0, 1)</f>
        <v>1</v>
      </c>
      <c r="Z159" s="1" t="s">
        <v>22</v>
      </c>
      <c r="AA159" s="6">
        <f>IF(Form_Responses1[[#This Row],[rung_nhi]]="Không", 0, 1)</f>
        <v>0</v>
      </c>
      <c r="AB159" s="1" t="s">
        <v>21</v>
      </c>
      <c r="AC159" s="6">
        <v>500</v>
      </c>
      <c r="AD159" s="6">
        <v>0.08</v>
      </c>
      <c r="AE159" s="6">
        <v>16.93</v>
      </c>
      <c r="AF159" s="6">
        <v>104</v>
      </c>
      <c r="AG159" s="6">
        <v>229</v>
      </c>
      <c r="AH159" s="6">
        <v>131</v>
      </c>
      <c r="AI159" s="6">
        <v>3</v>
      </c>
      <c r="AJ159" s="6">
        <v>44</v>
      </c>
      <c r="AK159" s="6">
        <v>2.52</v>
      </c>
      <c r="AL159" s="1" t="s">
        <v>21</v>
      </c>
      <c r="AM159" s="1">
        <v>14944</v>
      </c>
      <c r="AN159" s="6">
        <f>IF(Form_Responses1[[#This Row],[NT_proBNP &gt; 35000]]="Có", 35001, Form_Responses1[[#This Row],[NT_ProBNP]])</f>
        <v>14944</v>
      </c>
      <c r="AO159" s="6">
        <f>IF(Form_Responses1[[#This Row],[NT_proBNP &gt; 35000]]="Có", 1, 0)</f>
        <v>0</v>
      </c>
      <c r="AP159" s="6">
        <v>622.6</v>
      </c>
      <c r="AQ159" s="6">
        <v>21</v>
      </c>
      <c r="AR159" s="6">
        <v>9</v>
      </c>
      <c r="AS159" s="6">
        <v>170</v>
      </c>
      <c r="AT159" s="13"/>
      <c r="AU159" s="6">
        <v>34.4</v>
      </c>
      <c r="AV159" s="6">
        <v>43</v>
      </c>
      <c r="AW159" s="6">
        <v>31</v>
      </c>
      <c r="AX159" s="13"/>
      <c r="AY159" s="23">
        <f>IF(Form_Responses1[[#This Row],[ket_cuc]]="Không tử vong", 0, 1)</f>
        <v>0</v>
      </c>
      <c r="AZ159" s="1" t="s">
        <v>24</v>
      </c>
      <c r="BA159" s="32">
        <v>52</v>
      </c>
      <c r="BB159" s="32">
        <v>0.16100085660298899</v>
      </c>
    </row>
    <row r="160" spans="1:54" ht="13" x14ac:dyDescent="0.15">
      <c r="A160" s="2" t="s">
        <v>150</v>
      </c>
      <c r="B160" s="15">
        <v>75</v>
      </c>
      <c r="C160" s="15">
        <f>IF(Form_Responses1[[#This Row],[gioi_tinh]]="Nữ", 0, 1)</f>
        <v>0</v>
      </c>
      <c r="D160" s="2" t="s">
        <v>20</v>
      </c>
      <c r="E160" s="15">
        <v>28.9</v>
      </c>
      <c r="F160" s="15">
        <f>IF(Form_Responses1[[#This Row],[dai_thao_duong]]="Không", 0, 1)</f>
        <v>1</v>
      </c>
      <c r="G160" s="2" t="s">
        <v>22</v>
      </c>
      <c r="H160" s="15">
        <f t="shared" si="4"/>
        <v>1</v>
      </c>
      <c r="I160" s="2" t="s">
        <v>22</v>
      </c>
      <c r="J160" s="15">
        <f>IF(Form_Responses1[[#This Row],[hoi_chung_vanh_man]]="Không", 0, 1)</f>
        <v>0</v>
      </c>
      <c r="K160" s="2" t="s">
        <v>21</v>
      </c>
      <c r="L160" s="15">
        <f>IF(Form_Responses1[[#This Row],[ckd]]="Không", 0, 1)</f>
        <v>0</v>
      </c>
      <c r="M160" s="2" t="s">
        <v>21</v>
      </c>
      <c r="N160" s="15">
        <f t="shared" si="5"/>
        <v>0</v>
      </c>
      <c r="O160" s="2" t="s">
        <v>21</v>
      </c>
      <c r="P160" s="15">
        <f>IF(Form_Responses1[[#This Row],[phan_loai_the_lam_sang]]="Suy tim mất bù cấp", 1,0)</f>
        <v>1</v>
      </c>
      <c r="Q160" s="15">
        <f>IF(Form_Responses1[[#This Row],[phan_loai_the_lam_sang]]="Phù phổi cấp", 1, 0)</f>
        <v>0</v>
      </c>
      <c r="R160" s="15">
        <f>IF(Form_Responses1[[#This Row],[phan_loai_the_lam_sang]]="Choáng tim", 1, 0)</f>
        <v>0</v>
      </c>
      <c r="S160" s="2" t="s">
        <v>23</v>
      </c>
      <c r="T160" s="15">
        <v>88</v>
      </c>
      <c r="U160" s="15">
        <v>120</v>
      </c>
      <c r="V160" s="15">
        <v>80</v>
      </c>
      <c r="W160" s="15">
        <f>IF(Form_Responses1[[#This Row],[hcvc]]="Không", 0, 1)</f>
        <v>1</v>
      </c>
      <c r="X160" s="2" t="s">
        <v>22</v>
      </c>
      <c r="Y160" s="15">
        <f>IF(Form_Responses1[[#This Row],[suy_ho_hap]]="Không", 0, 1)</f>
        <v>0</v>
      </c>
      <c r="Z160" s="2" t="s">
        <v>21</v>
      </c>
      <c r="AA160" s="15">
        <f>IF(Form_Responses1[[#This Row],[rung_nhi]]="Không", 0, 1)</f>
        <v>0</v>
      </c>
      <c r="AB160" s="2" t="s">
        <v>21</v>
      </c>
      <c r="AC160" s="15">
        <v>447</v>
      </c>
      <c r="AD160" s="15">
        <v>0.06</v>
      </c>
      <c r="AE160" s="15">
        <v>8.1300000000000008</v>
      </c>
      <c r="AF160" s="15">
        <v>126</v>
      </c>
      <c r="AG160" s="15">
        <v>294</v>
      </c>
      <c r="AH160" s="15">
        <v>137</v>
      </c>
      <c r="AI160" s="15">
        <v>3.3</v>
      </c>
      <c r="AJ160" s="15">
        <v>19</v>
      </c>
      <c r="AK160" s="15">
        <v>1.38</v>
      </c>
      <c r="AL160" s="2" t="s">
        <v>21</v>
      </c>
      <c r="AM160" s="2">
        <v>2425.9</v>
      </c>
      <c r="AN160" s="6">
        <f>IF(Form_Responses1[[#This Row],[NT_proBNP &gt; 35000]]="Có", 35001, Form_Responses1[[#This Row],[NT_ProBNP]])</f>
        <v>2425.9</v>
      </c>
      <c r="AO160" s="27">
        <f>IF(Form_Responses1[[#This Row],[NT_proBNP &gt; 35000]]="Có", 1, 0)</f>
        <v>0</v>
      </c>
      <c r="AP160" s="27">
        <v>2033.62</v>
      </c>
      <c r="AQ160" s="15">
        <v>19</v>
      </c>
      <c r="AR160" s="15">
        <v>17</v>
      </c>
      <c r="AS160" s="15">
        <v>124</v>
      </c>
      <c r="AT160" s="15">
        <v>49</v>
      </c>
      <c r="AU160" s="15">
        <v>44</v>
      </c>
      <c r="AV160" s="15">
        <v>55</v>
      </c>
      <c r="AW160" s="15">
        <v>31</v>
      </c>
      <c r="AX160" s="18"/>
      <c r="AY160" s="26">
        <f>IF(Form_Responses1[[#This Row],[ket_cuc]]="Không tử vong", 0, 1)</f>
        <v>0</v>
      </c>
      <c r="AZ160" s="2" t="s">
        <v>24</v>
      </c>
      <c r="BA160" s="32">
        <v>41</v>
      </c>
      <c r="BB160" s="32">
        <v>7.3074075093290863E-2</v>
      </c>
    </row>
    <row r="161" spans="1:54" ht="13" x14ac:dyDescent="0.15">
      <c r="A161" s="1" t="s">
        <v>241</v>
      </c>
      <c r="B161" s="6">
        <v>53</v>
      </c>
      <c r="C161" s="6">
        <f>IF(Form_Responses1[[#This Row],[gioi_tinh]]="Nữ", 0, 1)</f>
        <v>0</v>
      </c>
      <c r="D161" s="1" t="s">
        <v>20</v>
      </c>
      <c r="E161" s="6">
        <v>20.399999999999999</v>
      </c>
      <c r="F161" s="6">
        <f>IF(Form_Responses1[[#This Row],[dai_thao_duong]]="Không", 0, 1)</f>
        <v>1</v>
      </c>
      <c r="G161" s="1" t="s">
        <v>22</v>
      </c>
      <c r="H161" s="6">
        <f t="shared" si="4"/>
        <v>1</v>
      </c>
      <c r="I161" s="1" t="s">
        <v>22</v>
      </c>
      <c r="J161" s="6">
        <f>IF(Form_Responses1[[#This Row],[hoi_chung_vanh_man]]="Không", 0, 1)</f>
        <v>0</v>
      </c>
      <c r="K161" s="1" t="s">
        <v>21</v>
      </c>
      <c r="L161" s="6">
        <f>IF(Form_Responses1[[#This Row],[ckd]]="Không", 0, 1)</f>
        <v>0</v>
      </c>
      <c r="M161" s="1" t="s">
        <v>21</v>
      </c>
      <c r="N161" s="6">
        <f t="shared" si="5"/>
        <v>0</v>
      </c>
      <c r="O161" s="1" t="s">
        <v>21</v>
      </c>
      <c r="P161" s="6">
        <f>IF(Form_Responses1[[#This Row],[phan_loai_the_lam_sang]]="Suy tim mất bù cấp", 1,0)</f>
        <v>0</v>
      </c>
      <c r="Q161" s="6">
        <f>IF(Form_Responses1[[#This Row],[phan_loai_the_lam_sang]]="Phù phổi cấp", 1, 0)</f>
        <v>1</v>
      </c>
      <c r="R161" s="6">
        <f>IF(Form_Responses1[[#This Row],[phan_loai_the_lam_sang]]="Choáng tim", 1, 0)</f>
        <v>0</v>
      </c>
      <c r="S161" s="1" t="s">
        <v>45</v>
      </c>
      <c r="T161" s="6">
        <v>98</v>
      </c>
      <c r="U161" s="6">
        <v>110</v>
      </c>
      <c r="V161" s="6">
        <v>70</v>
      </c>
      <c r="W161" s="6">
        <f>IF(Form_Responses1[[#This Row],[hcvc]]="Không", 0, 1)</f>
        <v>1</v>
      </c>
      <c r="X161" s="1" t="s">
        <v>22</v>
      </c>
      <c r="Y161" s="6">
        <f>IF(Form_Responses1[[#This Row],[suy_ho_hap]]="Không", 0, 1)</f>
        <v>0</v>
      </c>
      <c r="Z161" s="1" t="s">
        <v>21</v>
      </c>
      <c r="AA161" s="6">
        <f>IF(Form_Responses1[[#This Row],[rung_nhi]]="Không", 0, 1)</f>
        <v>0</v>
      </c>
      <c r="AB161" s="1" t="s">
        <v>21</v>
      </c>
      <c r="AC161" s="6">
        <v>500</v>
      </c>
      <c r="AD161" s="6">
        <v>0.08</v>
      </c>
      <c r="AE161" s="6">
        <v>6.1</v>
      </c>
      <c r="AF161" s="6">
        <v>110</v>
      </c>
      <c r="AG161" s="6">
        <v>368</v>
      </c>
      <c r="AH161" s="6">
        <v>142</v>
      </c>
      <c r="AI161" s="6">
        <v>4</v>
      </c>
      <c r="AJ161" s="6">
        <v>17</v>
      </c>
      <c r="AK161" s="6">
        <v>0.95</v>
      </c>
      <c r="AL161" s="1" t="s">
        <v>21</v>
      </c>
      <c r="AM161" s="1">
        <v>20343.169999999998</v>
      </c>
      <c r="AN161" s="6">
        <f>IF(Form_Responses1[[#This Row],[NT_proBNP &gt; 35000]]="Có", 35001, Form_Responses1[[#This Row],[NT_ProBNP]])</f>
        <v>20343.169999999998</v>
      </c>
      <c r="AO161" s="6">
        <f>IF(Form_Responses1[[#This Row],[NT_proBNP &gt; 35000]]="Có", 1, 0)</f>
        <v>0</v>
      </c>
      <c r="AP161" s="6">
        <v>27744.3</v>
      </c>
      <c r="AQ161" s="6">
        <v>15</v>
      </c>
      <c r="AR161" s="6">
        <v>7</v>
      </c>
      <c r="AS161" s="27">
        <v>109</v>
      </c>
      <c r="AT161" s="6">
        <v>29</v>
      </c>
      <c r="AU161" s="6">
        <v>45</v>
      </c>
      <c r="AV161" s="6">
        <v>58</v>
      </c>
      <c r="AW161" s="6">
        <v>31</v>
      </c>
      <c r="AX161" s="27">
        <v>54</v>
      </c>
      <c r="AY161" s="29">
        <f>IF(Form_Responses1[[#This Row],[ket_cuc]]="Không tử vong", 0, 1)</f>
        <v>0</v>
      </c>
      <c r="AZ161" s="1" t="s">
        <v>24</v>
      </c>
      <c r="BA161" s="32">
        <v>38</v>
      </c>
      <c r="BB161" s="32">
        <v>5.2480790660428329E-2</v>
      </c>
    </row>
    <row r="162" spans="1:54" ht="13" x14ac:dyDescent="0.15">
      <c r="A162" s="2" t="s">
        <v>196</v>
      </c>
      <c r="B162" s="15">
        <v>99</v>
      </c>
      <c r="C162" s="15">
        <f>IF(Form_Responses1[[#This Row],[gioi_tinh]]="Nữ", 0, 1)</f>
        <v>0</v>
      </c>
      <c r="D162" s="2" t="s">
        <v>20</v>
      </c>
      <c r="E162" s="15">
        <v>18.7</v>
      </c>
      <c r="F162" s="15">
        <f>IF(Form_Responses1[[#This Row],[dai_thao_duong]]="Không", 0, 1)</f>
        <v>0</v>
      </c>
      <c r="G162" s="2" t="s">
        <v>21</v>
      </c>
      <c r="H162" s="15">
        <f t="shared" si="4"/>
        <v>0</v>
      </c>
      <c r="I162" s="2" t="s">
        <v>21</v>
      </c>
      <c r="J162" s="15">
        <f>IF(Form_Responses1[[#This Row],[hoi_chung_vanh_man]]="Không", 0, 1)</f>
        <v>0</v>
      </c>
      <c r="K162" s="2" t="s">
        <v>21</v>
      </c>
      <c r="L162" s="15">
        <f>IF(Form_Responses1[[#This Row],[ckd]]="Không", 0, 1)</f>
        <v>0</v>
      </c>
      <c r="M162" s="2" t="s">
        <v>21</v>
      </c>
      <c r="N162" s="15">
        <f t="shared" si="5"/>
        <v>0</v>
      </c>
      <c r="O162" s="2" t="s">
        <v>21</v>
      </c>
      <c r="P162" s="15">
        <f>IF(Form_Responses1[[#This Row],[phan_loai_the_lam_sang]]="Suy tim mất bù cấp", 1,0)</f>
        <v>0</v>
      </c>
      <c r="Q162" s="15">
        <f>IF(Form_Responses1[[#This Row],[phan_loai_the_lam_sang]]="Phù phổi cấp", 1, 0)</f>
        <v>1</v>
      </c>
      <c r="R162" s="15">
        <f>IF(Form_Responses1[[#This Row],[phan_loai_the_lam_sang]]="Choáng tim", 1, 0)</f>
        <v>0</v>
      </c>
      <c r="S162" s="2" t="s">
        <v>45</v>
      </c>
      <c r="T162" s="15">
        <v>87</v>
      </c>
      <c r="U162" s="15">
        <v>140</v>
      </c>
      <c r="V162" s="15">
        <v>70</v>
      </c>
      <c r="W162" s="15">
        <f>IF(Form_Responses1[[#This Row],[hcvc]]="Không", 0, 1)</f>
        <v>1</v>
      </c>
      <c r="X162" s="2" t="s">
        <v>22</v>
      </c>
      <c r="Y162" s="15">
        <f>IF(Form_Responses1[[#This Row],[suy_ho_hap]]="Không", 0, 1)</f>
        <v>1</v>
      </c>
      <c r="Z162" s="2" t="s">
        <v>22</v>
      </c>
      <c r="AA162" s="15">
        <f>IF(Form_Responses1[[#This Row],[rung_nhi]]="Không", 0, 1)</f>
        <v>1</v>
      </c>
      <c r="AB162" s="2" t="s">
        <v>22</v>
      </c>
      <c r="AC162" s="15">
        <v>325</v>
      </c>
      <c r="AD162" s="15">
        <v>0.08</v>
      </c>
      <c r="AE162" s="15">
        <v>9.01</v>
      </c>
      <c r="AF162" s="15">
        <v>134</v>
      </c>
      <c r="AG162" s="15">
        <v>142</v>
      </c>
      <c r="AH162" s="15">
        <v>128</v>
      </c>
      <c r="AI162" s="15">
        <v>4</v>
      </c>
      <c r="AJ162" s="15">
        <v>46</v>
      </c>
      <c r="AK162" s="15">
        <v>1.27</v>
      </c>
      <c r="AL162" s="2" t="s">
        <v>22</v>
      </c>
      <c r="AM162" s="12"/>
      <c r="AN162" s="6">
        <f>IF(Form_Responses1[[#This Row],[NT_proBNP &gt; 35000]]="Có", 35001, Form_Responses1[[#This Row],[NT_ProBNP]])</f>
        <v>35001</v>
      </c>
      <c r="AO162" s="18">
        <f>IF(Form_Responses1[[#This Row],[NT_proBNP &gt; 35000]]="Có", 1, 0)</f>
        <v>1</v>
      </c>
      <c r="AP162" s="15">
        <v>110522.3</v>
      </c>
      <c r="AQ162" s="15">
        <v>306</v>
      </c>
      <c r="AR162" s="15">
        <v>45</v>
      </c>
      <c r="AS162" s="18">
        <v>254</v>
      </c>
      <c r="AT162" s="15">
        <v>36.799999999999997</v>
      </c>
      <c r="AU162" s="15">
        <v>35.299999999999997</v>
      </c>
      <c r="AV162" s="15">
        <v>39.9</v>
      </c>
      <c r="AW162" s="15">
        <v>31</v>
      </c>
      <c r="AX162" s="15">
        <v>42</v>
      </c>
      <c r="AY162" s="22">
        <f>IF(Form_Responses1[[#This Row],[ket_cuc]]="Không tử vong", 0, 1)</f>
        <v>1</v>
      </c>
      <c r="AZ162" s="2" t="s">
        <v>29</v>
      </c>
      <c r="BA162" s="32">
        <v>51</v>
      </c>
      <c r="BB162" s="32">
        <v>0.25013357790613022</v>
      </c>
    </row>
    <row r="163" spans="1:54" ht="13" x14ac:dyDescent="0.15">
      <c r="A163" s="1" t="s">
        <v>184</v>
      </c>
      <c r="B163" s="6">
        <v>43</v>
      </c>
      <c r="C163" s="6">
        <f>IF(Form_Responses1[[#This Row],[gioi_tinh]]="Nữ", 0, 1)</f>
        <v>1</v>
      </c>
      <c r="D163" s="1" t="s">
        <v>26</v>
      </c>
      <c r="E163" s="6">
        <v>24.1</v>
      </c>
      <c r="F163" s="6">
        <f>IF(Form_Responses1[[#This Row],[dai_thao_duong]]="Không", 0, 1)</f>
        <v>0</v>
      </c>
      <c r="G163" s="1" t="s">
        <v>21</v>
      </c>
      <c r="H163" s="6">
        <f t="shared" si="4"/>
        <v>0</v>
      </c>
      <c r="I163" s="1" t="s">
        <v>21</v>
      </c>
      <c r="J163" s="6">
        <f>IF(Form_Responses1[[#This Row],[hoi_chung_vanh_man]]="Không", 0, 1)</f>
        <v>0</v>
      </c>
      <c r="K163" s="1" t="s">
        <v>21</v>
      </c>
      <c r="L163" s="6">
        <f>IF(Form_Responses1[[#This Row],[ckd]]="Không", 0, 1)</f>
        <v>0</v>
      </c>
      <c r="M163" s="1" t="s">
        <v>21</v>
      </c>
      <c r="N163" s="6">
        <f t="shared" si="5"/>
        <v>0</v>
      </c>
      <c r="O163" s="1" t="s">
        <v>21</v>
      </c>
      <c r="P163" s="6">
        <f>IF(Form_Responses1[[#This Row],[phan_loai_the_lam_sang]]="Suy tim mất bù cấp", 1,0)</f>
        <v>1</v>
      </c>
      <c r="Q163" s="6">
        <f>IF(Form_Responses1[[#This Row],[phan_loai_the_lam_sang]]="Phù phổi cấp", 1, 0)</f>
        <v>0</v>
      </c>
      <c r="R163" s="6">
        <f>IF(Form_Responses1[[#This Row],[phan_loai_the_lam_sang]]="Choáng tim", 1, 0)</f>
        <v>0</v>
      </c>
      <c r="S163" s="1" t="s">
        <v>23</v>
      </c>
      <c r="T163" s="6">
        <v>84</v>
      </c>
      <c r="U163" s="6">
        <v>90</v>
      </c>
      <c r="V163" s="6">
        <v>60</v>
      </c>
      <c r="W163" s="6">
        <f>IF(Form_Responses1[[#This Row],[hcvc]]="Không", 0, 1)</f>
        <v>0</v>
      </c>
      <c r="X163" s="1" t="s">
        <v>21</v>
      </c>
      <c r="Y163" s="6">
        <f>IF(Form_Responses1[[#This Row],[suy_ho_hap]]="Không", 0, 1)</f>
        <v>0</v>
      </c>
      <c r="Z163" s="1" t="s">
        <v>21</v>
      </c>
      <c r="AA163" s="6">
        <f>IF(Form_Responses1[[#This Row],[rung_nhi]]="Không", 0, 1)</f>
        <v>1</v>
      </c>
      <c r="AB163" s="1" t="s">
        <v>22</v>
      </c>
      <c r="AC163" s="6">
        <v>416</v>
      </c>
      <c r="AD163" s="6">
        <v>0.06</v>
      </c>
      <c r="AE163" s="6">
        <v>8.5299999999999994</v>
      </c>
      <c r="AF163" s="6">
        <v>98</v>
      </c>
      <c r="AG163" s="6">
        <v>156</v>
      </c>
      <c r="AH163" s="6">
        <v>133</v>
      </c>
      <c r="AI163" s="6">
        <v>4.2</v>
      </c>
      <c r="AJ163" s="6">
        <v>6.5</v>
      </c>
      <c r="AK163" s="6">
        <v>0.71</v>
      </c>
      <c r="AL163" s="1" t="s">
        <v>21</v>
      </c>
      <c r="AM163" s="1">
        <v>5139.2</v>
      </c>
      <c r="AN163" s="6">
        <f>IF(Form_Responses1[[#This Row],[NT_proBNP &gt; 35000]]="Có", 35001, Form_Responses1[[#This Row],[NT_ProBNP]])</f>
        <v>5139.2</v>
      </c>
      <c r="AO163" s="27">
        <f>IF(Form_Responses1[[#This Row],[NT_proBNP &gt; 35000]]="Có", 1, 0)</f>
        <v>0</v>
      </c>
      <c r="AP163" s="27">
        <v>15.71</v>
      </c>
      <c r="AQ163" s="6">
        <v>65</v>
      </c>
      <c r="AR163" s="6">
        <v>134</v>
      </c>
      <c r="AS163" s="6">
        <v>108</v>
      </c>
      <c r="AT163" s="6">
        <v>41</v>
      </c>
      <c r="AU163" s="6">
        <v>57</v>
      </c>
      <c r="AV163" s="6">
        <v>70</v>
      </c>
      <c r="AW163" s="6">
        <v>30</v>
      </c>
      <c r="AX163" s="13"/>
      <c r="AY163" s="23">
        <f>IF(Form_Responses1[[#This Row],[ket_cuc]]="Không tử vong", 0, 1)</f>
        <v>0</v>
      </c>
      <c r="AZ163" s="1" t="s">
        <v>24</v>
      </c>
      <c r="BA163" s="32">
        <v>36</v>
      </c>
      <c r="BB163" s="32">
        <v>3.2439535755994064E-2</v>
      </c>
    </row>
    <row r="164" spans="1:54" ht="13" x14ac:dyDescent="0.15">
      <c r="A164" s="2" t="s">
        <v>63</v>
      </c>
      <c r="B164" s="15">
        <v>58</v>
      </c>
      <c r="C164" s="15">
        <f>IF(Form_Responses1[[#This Row],[gioi_tinh]]="Nữ", 0, 1)</f>
        <v>1</v>
      </c>
      <c r="D164" s="2" t="s">
        <v>26</v>
      </c>
      <c r="E164" s="15">
        <v>27.7</v>
      </c>
      <c r="F164" s="15">
        <f>IF(Form_Responses1[[#This Row],[dai_thao_duong]]="Không", 0, 1)</f>
        <v>0</v>
      </c>
      <c r="G164" s="2" t="s">
        <v>21</v>
      </c>
      <c r="H164" s="15">
        <f t="shared" si="4"/>
        <v>1</v>
      </c>
      <c r="I164" s="2" t="s">
        <v>22</v>
      </c>
      <c r="J164" s="15">
        <f>IF(Form_Responses1[[#This Row],[hoi_chung_vanh_man]]="Không", 0, 1)</f>
        <v>1</v>
      </c>
      <c r="K164" s="2" t="s">
        <v>22</v>
      </c>
      <c r="L164" s="15">
        <f>IF(Form_Responses1[[#This Row],[ckd]]="Không", 0, 1)</f>
        <v>0</v>
      </c>
      <c r="M164" s="2" t="s">
        <v>21</v>
      </c>
      <c r="N164" s="15">
        <f t="shared" si="5"/>
        <v>0</v>
      </c>
      <c r="O164" s="2" t="s">
        <v>21</v>
      </c>
      <c r="P164" s="15">
        <f>IF(Form_Responses1[[#This Row],[phan_loai_the_lam_sang]]="Suy tim mất bù cấp", 1,0)</f>
        <v>1</v>
      </c>
      <c r="Q164" s="15">
        <f>IF(Form_Responses1[[#This Row],[phan_loai_the_lam_sang]]="Phù phổi cấp", 1, 0)</f>
        <v>0</v>
      </c>
      <c r="R164" s="15">
        <f>IF(Form_Responses1[[#This Row],[phan_loai_the_lam_sang]]="Choáng tim", 1, 0)</f>
        <v>0</v>
      </c>
      <c r="S164" s="2" t="s">
        <v>23</v>
      </c>
      <c r="T164" s="15">
        <v>90</v>
      </c>
      <c r="U164" s="15">
        <v>110</v>
      </c>
      <c r="V164" s="15">
        <v>70</v>
      </c>
      <c r="W164" s="15">
        <f>IF(Form_Responses1[[#This Row],[hcvc]]="Không", 0, 1)</f>
        <v>0</v>
      </c>
      <c r="X164" s="2" t="s">
        <v>21</v>
      </c>
      <c r="Y164" s="15">
        <f>IF(Form_Responses1[[#This Row],[suy_ho_hap]]="Không", 0, 1)</f>
        <v>1</v>
      </c>
      <c r="Z164" s="2" t="s">
        <v>22</v>
      </c>
      <c r="AA164" s="15">
        <f>IF(Form_Responses1[[#This Row],[rung_nhi]]="Không", 0, 1)</f>
        <v>0</v>
      </c>
      <c r="AB164" s="2" t="s">
        <v>21</v>
      </c>
      <c r="AC164" s="15">
        <v>450</v>
      </c>
      <c r="AD164" s="15">
        <v>0.08</v>
      </c>
      <c r="AE164" s="15">
        <v>8.24</v>
      </c>
      <c r="AF164" s="15">
        <v>116</v>
      </c>
      <c r="AG164" s="15">
        <v>295</v>
      </c>
      <c r="AH164" s="15">
        <v>134</v>
      </c>
      <c r="AI164" s="15">
        <v>3.8</v>
      </c>
      <c r="AJ164" s="15">
        <v>22</v>
      </c>
      <c r="AK164" s="15">
        <v>1.24</v>
      </c>
      <c r="AL164" s="2" t="s">
        <v>21</v>
      </c>
      <c r="AM164" s="28">
        <v>3881</v>
      </c>
      <c r="AN164" s="6">
        <f>IF(Form_Responses1[[#This Row],[NT_proBNP &gt; 35000]]="Có", 35001, Form_Responses1[[#This Row],[NT_ProBNP]])</f>
        <v>3881</v>
      </c>
      <c r="AO164" s="27">
        <f>IF(Form_Responses1[[#This Row],[NT_proBNP &gt; 35000]]="Có", 1, 0)</f>
        <v>0</v>
      </c>
      <c r="AP164" s="15">
        <v>17</v>
      </c>
      <c r="AQ164" s="15">
        <v>29</v>
      </c>
      <c r="AR164" s="15">
        <v>20</v>
      </c>
      <c r="AS164" s="15">
        <v>150</v>
      </c>
      <c r="AT164" s="18"/>
      <c r="AU164" s="15">
        <v>63.8</v>
      </c>
      <c r="AV164" s="15">
        <v>72.099999999999994</v>
      </c>
      <c r="AW164" s="15">
        <v>30</v>
      </c>
      <c r="AX164" s="27">
        <v>45</v>
      </c>
      <c r="AY164" s="29">
        <f>IF(Form_Responses1[[#This Row],[ket_cuc]]="Không tử vong", 0, 1)</f>
        <v>0</v>
      </c>
      <c r="AZ164" s="2" t="s">
        <v>24</v>
      </c>
      <c r="BA164" s="32">
        <v>41</v>
      </c>
      <c r="BB164" s="32">
        <v>6.018838794734762E-2</v>
      </c>
    </row>
    <row r="165" spans="1:54" ht="13" x14ac:dyDescent="0.15">
      <c r="A165" s="1" t="s">
        <v>100</v>
      </c>
      <c r="B165" s="6">
        <v>73</v>
      </c>
      <c r="C165" s="6">
        <f>IF(Form_Responses1[[#This Row],[gioi_tinh]]="Nữ", 0, 1)</f>
        <v>1</v>
      </c>
      <c r="D165" s="1" t="s">
        <v>26</v>
      </c>
      <c r="E165" s="6">
        <v>21.9</v>
      </c>
      <c r="F165" s="6">
        <f>IF(Form_Responses1[[#This Row],[dai_thao_duong]]="Không", 0, 1)</f>
        <v>1</v>
      </c>
      <c r="G165" s="1" t="s">
        <v>22</v>
      </c>
      <c r="H165" s="6">
        <f t="shared" si="4"/>
        <v>0</v>
      </c>
      <c r="I165" s="1" t="s">
        <v>21</v>
      </c>
      <c r="J165" s="6">
        <f>IF(Form_Responses1[[#This Row],[hoi_chung_vanh_man]]="Không", 0, 1)</f>
        <v>0</v>
      </c>
      <c r="K165" s="1" t="s">
        <v>21</v>
      </c>
      <c r="L165" s="6">
        <f>IF(Form_Responses1[[#This Row],[ckd]]="Không", 0, 1)</f>
        <v>0</v>
      </c>
      <c r="M165" s="1" t="s">
        <v>21</v>
      </c>
      <c r="N165" s="6">
        <f t="shared" si="5"/>
        <v>0</v>
      </c>
      <c r="O165" s="1" t="s">
        <v>21</v>
      </c>
      <c r="P165" s="6">
        <f>IF(Form_Responses1[[#This Row],[phan_loai_the_lam_sang]]="Suy tim mất bù cấp", 1,0)</f>
        <v>1</v>
      </c>
      <c r="Q165" s="6">
        <f>IF(Form_Responses1[[#This Row],[phan_loai_the_lam_sang]]="Phù phổi cấp", 1, 0)</f>
        <v>0</v>
      </c>
      <c r="R165" s="6">
        <f>IF(Form_Responses1[[#This Row],[phan_loai_the_lam_sang]]="Choáng tim", 1, 0)</f>
        <v>0</v>
      </c>
      <c r="S165" s="1" t="s">
        <v>23</v>
      </c>
      <c r="T165" s="6">
        <v>84</v>
      </c>
      <c r="U165" s="6">
        <v>130</v>
      </c>
      <c r="V165" s="6">
        <v>80</v>
      </c>
      <c r="W165" s="6">
        <f>IF(Form_Responses1[[#This Row],[hcvc]]="Không", 0, 1)</f>
        <v>0</v>
      </c>
      <c r="X165" s="1" t="s">
        <v>21</v>
      </c>
      <c r="Y165" s="6">
        <f>IF(Form_Responses1[[#This Row],[suy_ho_hap]]="Không", 0, 1)</f>
        <v>0</v>
      </c>
      <c r="Z165" s="1" t="s">
        <v>21</v>
      </c>
      <c r="AA165" s="6">
        <f>IF(Form_Responses1[[#This Row],[rung_nhi]]="Không", 0, 1)</f>
        <v>0</v>
      </c>
      <c r="AB165" s="1" t="s">
        <v>21</v>
      </c>
      <c r="AC165" s="6">
        <v>413</v>
      </c>
      <c r="AD165" s="6">
        <v>0.12</v>
      </c>
      <c r="AE165" s="6">
        <v>13.1</v>
      </c>
      <c r="AF165" s="6">
        <v>99</v>
      </c>
      <c r="AG165" s="6">
        <v>450</v>
      </c>
      <c r="AH165" s="6">
        <v>138</v>
      </c>
      <c r="AI165" s="6">
        <v>3.5</v>
      </c>
      <c r="AJ165" s="6">
        <v>19</v>
      </c>
      <c r="AK165" s="6">
        <v>1.1499999999999999</v>
      </c>
      <c r="AL165" s="1" t="s">
        <v>21</v>
      </c>
      <c r="AM165" s="1">
        <v>28089.599999999999</v>
      </c>
      <c r="AN165" s="6">
        <f>IF(Form_Responses1[[#This Row],[NT_proBNP &gt; 35000]]="Có", 35001, Form_Responses1[[#This Row],[NT_ProBNP]])</f>
        <v>28089.599999999999</v>
      </c>
      <c r="AO165" s="6">
        <f>IF(Form_Responses1[[#This Row],[NT_proBNP &gt; 35000]]="Có", 1, 0)</f>
        <v>0</v>
      </c>
      <c r="AP165" s="6">
        <v>19.96</v>
      </c>
      <c r="AQ165" s="6">
        <v>53</v>
      </c>
      <c r="AR165" s="6">
        <v>69</v>
      </c>
      <c r="AS165" s="27">
        <v>143</v>
      </c>
      <c r="AT165" s="13"/>
      <c r="AU165" s="6">
        <v>42</v>
      </c>
      <c r="AV165" s="6">
        <v>49</v>
      </c>
      <c r="AW165" s="6">
        <v>30</v>
      </c>
      <c r="AX165" s="13"/>
      <c r="AY165" s="23">
        <f>IF(Form_Responses1[[#This Row],[ket_cuc]]="Không tử vong", 0, 1)</f>
        <v>0</v>
      </c>
      <c r="AZ165" s="1" t="s">
        <v>24</v>
      </c>
      <c r="BA165" s="32">
        <v>37</v>
      </c>
      <c r="BB165" s="32">
        <v>6.5964359986762783E-2</v>
      </c>
    </row>
    <row r="166" spans="1:54" ht="13" x14ac:dyDescent="0.15">
      <c r="A166" s="2" t="s">
        <v>248</v>
      </c>
      <c r="B166" s="15">
        <v>50</v>
      </c>
      <c r="C166" s="15">
        <f>IF(Form_Responses1[[#This Row],[gioi_tinh]]="Nữ", 0, 1)</f>
        <v>1</v>
      </c>
      <c r="D166" s="2" t="s">
        <v>26</v>
      </c>
      <c r="E166" s="15">
        <v>31.8</v>
      </c>
      <c r="F166" s="15">
        <f>IF(Form_Responses1[[#This Row],[dai_thao_duong]]="Không", 0, 1)</f>
        <v>0</v>
      </c>
      <c r="G166" s="2" t="s">
        <v>21</v>
      </c>
      <c r="H166" s="15">
        <f t="shared" si="4"/>
        <v>0</v>
      </c>
      <c r="I166" s="2" t="s">
        <v>21</v>
      </c>
      <c r="J166" s="15">
        <f>IF(Form_Responses1[[#This Row],[hoi_chung_vanh_man]]="Không", 0, 1)</f>
        <v>0</v>
      </c>
      <c r="K166" s="2" t="s">
        <v>21</v>
      </c>
      <c r="L166" s="15">
        <f>IF(Form_Responses1[[#This Row],[ckd]]="Không", 0, 1)</f>
        <v>0</v>
      </c>
      <c r="M166" s="2" t="s">
        <v>21</v>
      </c>
      <c r="N166" s="15">
        <f t="shared" si="5"/>
        <v>0</v>
      </c>
      <c r="O166" s="2" t="s">
        <v>21</v>
      </c>
      <c r="P166" s="15">
        <f>IF(Form_Responses1[[#This Row],[phan_loai_the_lam_sang]]="Suy tim mất bù cấp", 1,0)</f>
        <v>1</v>
      </c>
      <c r="Q166" s="15">
        <f>IF(Form_Responses1[[#This Row],[phan_loai_the_lam_sang]]="Phù phổi cấp", 1, 0)</f>
        <v>0</v>
      </c>
      <c r="R166" s="15">
        <f>IF(Form_Responses1[[#This Row],[phan_loai_the_lam_sang]]="Choáng tim", 1, 0)</f>
        <v>0</v>
      </c>
      <c r="S166" s="2" t="s">
        <v>23</v>
      </c>
      <c r="T166" s="15">
        <v>130</v>
      </c>
      <c r="U166" s="15">
        <v>150</v>
      </c>
      <c r="V166" s="15">
        <v>80</v>
      </c>
      <c r="W166" s="15">
        <f>IF(Form_Responses1[[#This Row],[hcvc]]="Không", 0, 1)</f>
        <v>0</v>
      </c>
      <c r="X166" s="2" t="s">
        <v>21</v>
      </c>
      <c r="Y166" s="15">
        <f>IF(Form_Responses1[[#This Row],[suy_ho_hap]]="Không", 0, 1)</f>
        <v>0</v>
      </c>
      <c r="Z166" s="2" t="s">
        <v>21</v>
      </c>
      <c r="AA166" s="15">
        <f>IF(Form_Responses1[[#This Row],[rung_nhi]]="Không", 0, 1)</f>
        <v>0</v>
      </c>
      <c r="AB166" s="2" t="s">
        <v>21</v>
      </c>
      <c r="AC166" s="15">
        <v>388</v>
      </c>
      <c r="AD166" s="15">
        <v>0.08</v>
      </c>
      <c r="AE166" s="15">
        <v>14.41</v>
      </c>
      <c r="AF166" s="15">
        <v>124</v>
      </c>
      <c r="AG166" s="15">
        <v>255</v>
      </c>
      <c r="AH166" s="15">
        <v>135</v>
      </c>
      <c r="AI166" s="15">
        <v>3.7</v>
      </c>
      <c r="AJ166" s="15">
        <v>17</v>
      </c>
      <c r="AK166" s="15">
        <v>0.88</v>
      </c>
      <c r="AL166" s="2" t="s">
        <v>21</v>
      </c>
      <c r="AM166" s="2">
        <v>3335</v>
      </c>
      <c r="AN166" s="6">
        <f>IF(Form_Responses1[[#This Row],[NT_proBNP &gt; 35000]]="Có", 35001, Form_Responses1[[#This Row],[NT_ProBNP]])</f>
        <v>3335</v>
      </c>
      <c r="AO166" s="27">
        <f>IF(Form_Responses1[[#This Row],[NT_proBNP &gt; 35000]]="Có", 1, 0)</f>
        <v>0</v>
      </c>
      <c r="AP166" s="27">
        <v>22.8</v>
      </c>
      <c r="AQ166" s="15">
        <v>30</v>
      </c>
      <c r="AR166" s="15">
        <v>45</v>
      </c>
      <c r="AS166" s="27">
        <v>102</v>
      </c>
      <c r="AT166" s="18"/>
      <c r="AU166" s="15">
        <v>64</v>
      </c>
      <c r="AV166" s="15">
        <v>75</v>
      </c>
      <c r="AW166" s="15">
        <v>30</v>
      </c>
      <c r="AX166" s="15">
        <v>45</v>
      </c>
      <c r="AY166" s="22">
        <f>IF(Form_Responses1[[#This Row],[ket_cuc]]="Không tử vong", 0, 1)</f>
        <v>0</v>
      </c>
      <c r="AZ166" s="2" t="s">
        <v>24</v>
      </c>
      <c r="BA166" s="32">
        <v>35</v>
      </c>
      <c r="BB166" s="32">
        <v>5.9939979778444397E-2</v>
      </c>
    </row>
    <row r="167" spans="1:54" ht="13" x14ac:dyDescent="0.15">
      <c r="A167" s="1" t="s">
        <v>339</v>
      </c>
      <c r="B167" s="6">
        <v>27</v>
      </c>
      <c r="C167" s="6">
        <f>IF(Form_Responses1[[#This Row],[gioi_tinh]]="Nữ", 0, 1)</f>
        <v>1</v>
      </c>
      <c r="D167" s="1" t="s">
        <v>26</v>
      </c>
      <c r="E167" s="6">
        <v>21.5</v>
      </c>
      <c r="F167" s="6">
        <f>IF(Form_Responses1[[#This Row],[dai_thao_duong]]="Không", 0, 1)</f>
        <v>0</v>
      </c>
      <c r="G167" s="1" t="s">
        <v>21</v>
      </c>
      <c r="H167" s="6">
        <f t="shared" si="4"/>
        <v>0</v>
      </c>
      <c r="I167" s="1" t="s">
        <v>21</v>
      </c>
      <c r="J167" s="6">
        <f>IF(Form_Responses1[[#This Row],[hoi_chung_vanh_man]]="Không", 0, 1)</f>
        <v>0</v>
      </c>
      <c r="K167" s="1" t="s">
        <v>21</v>
      </c>
      <c r="L167" s="6">
        <f>IF(Form_Responses1[[#This Row],[ckd]]="Không", 0, 1)</f>
        <v>0</v>
      </c>
      <c r="M167" s="1" t="s">
        <v>21</v>
      </c>
      <c r="N167" s="6">
        <f t="shared" si="5"/>
        <v>0</v>
      </c>
      <c r="O167" s="1" t="s">
        <v>21</v>
      </c>
      <c r="P167" s="6">
        <f>IF(Form_Responses1[[#This Row],[phan_loai_the_lam_sang]]="Suy tim mất bù cấp", 1,0)</f>
        <v>1</v>
      </c>
      <c r="Q167" s="6">
        <f>IF(Form_Responses1[[#This Row],[phan_loai_the_lam_sang]]="Phù phổi cấp", 1, 0)</f>
        <v>0</v>
      </c>
      <c r="R167" s="6">
        <f>IF(Form_Responses1[[#This Row],[phan_loai_the_lam_sang]]="Choáng tim", 1, 0)</f>
        <v>0</v>
      </c>
      <c r="S167" s="1" t="s">
        <v>23</v>
      </c>
      <c r="T167" s="6">
        <v>84</v>
      </c>
      <c r="U167" s="6">
        <v>110</v>
      </c>
      <c r="V167" s="6">
        <v>60</v>
      </c>
      <c r="W167" s="6">
        <f>IF(Form_Responses1[[#This Row],[hcvc]]="Không", 0, 1)</f>
        <v>0</v>
      </c>
      <c r="X167" s="1" t="s">
        <v>21</v>
      </c>
      <c r="Y167" s="6">
        <f>IF(Form_Responses1[[#This Row],[suy_ho_hap]]="Không", 0, 1)</f>
        <v>0</v>
      </c>
      <c r="Z167" s="1" t="s">
        <v>21</v>
      </c>
      <c r="AA167" s="6">
        <f>IF(Form_Responses1[[#This Row],[rung_nhi]]="Không", 0, 1)</f>
        <v>1</v>
      </c>
      <c r="AB167" s="1" t="s">
        <v>22</v>
      </c>
      <c r="AC167" s="6">
        <v>360</v>
      </c>
      <c r="AD167" s="6">
        <v>0.1</v>
      </c>
      <c r="AE167" s="6">
        <v>8.68</v>
      </c>
      <c r="AF167" s="6">
        <v>80</v>
      </c>
      <c r="AG167" s="6">
        <v>298</v>
      </c>
      <c r="AH167" s="6">
        <v>129</v>
      </c>
      <c r="AI167" s="6">
        <v>4.7</v>
      </c>
      <c r="AJ167" s="6">
        <v>45</v>
      </c>
      <c r="AK167" s="6">
        <v>1.76</v>
      </c>
      <c r="AL167" s="1" t="s">
        <v>21</v>
      </c>
      <c r="AM167" s="28">
        <v>7220.75</v>
      </c>
      <c r="AN167" s="6">
        <f>IF(Form_Responses1[[#This Row],[NT_proBNP &gt; 35000]]="Có", 35001, Form_Responses1[[#This Row],[NT_ProBNP]])</f>
        <v>7220.75</v>
      </c>
      <c r="AO167" s="27">
        <f>IF(Form_Responses1[[#This Row],[NT_proBNP &gt; 35000]]="Có", 1, 0)</f>
        <v>0</v>
      </c>
      <c r="AP167" s="27">
        <v>45.3</v>
      </c>
      <c r="AQ167" s="6">
        <v>48</v>
      </c>
      <c r="AR167" s="6">
        <v>39</v>
      </c>
      <c r="AS167" s="6">
        <v>113</v>
      </c>
      <c r="AT167" s="6">
        <v>60</v>
      </c>
      <c r="AU167" s="6">
        <v>71</v>
      </c>
      <c r="AV167" s="6">
        <v>83</v>
      </c>
      <c r="AW167" s="6">
        <v>30</v>
      </c>
      <c r="AX167" s="6">
        <v>55</v>
      </c>
      <c r="AY167" s="24">
        <f>IF(Form_Responses1[[#This Row],[ket_cuc]]="Không tử vong", 0, 1)</f>
        <v>0</v>
      </c>
      <c r="AZ167" s="1" t="s">
        <v>24</v>
      </c>
      <c r="BA167" s="32">
        <v>36</v>
      </c>
      <c r="BB167" s="32">
        <v>4.5651170784443744E-2</v>
      </c>
    </row>
    <row r="168" spans="1:54" ht="13" x14ac:dyDescent="0.15">
      <c r="A168" s="2" t="s">
        <v>156</v>
      </c>
      <c r="B168" s="15">
        <v>57</v>
      </c>
      <c r="C168" s="15">
        <f>IF(Form_Responses1[[#This Row],[gioi_tinh]]="Nữ", 0, 1)</f>
        <v>1</v>
      </c>
      <c r="D168" s="2" t="s">
        <v>26</v>
      </c>
      <c r="E168" s="15">
        <v>23.9</v>
      </c>
      <c r="F168" s="15">
        <f>IF(Form_Responses1[[#This Row],[dai_thao_duong]]="Không", 0, 1)</f>
        <v>0</v>
      </c>
      <c r="G168" s="2" t="s">
        <v>21</v>
      </c>
      <c r="H168" s="15">
        <f t="shared" si="4"/>
        <v>0</v>
      </c>
      <c r="I168" s="2" t="s">
        <v>21</v>
      </c>
      <c r="J168" s="15">
        <f>IF(Form_Responses1[[#This Row],[hoi_chung_vanh_man]]="Không", 0, 1)</f>
        <v>0</v>
      </c>
      <c r="K168" s="2" t="s">
        <v>21</v>
      </c>
      <c r="L168" s="15">
        <f>IF(Form_Responses1[[#This Row],[ckd]]="Không", 0, 1)</f>
        <v>0</v>
      </c>
      <c r="M168" s="2" t="s">
        <v>21</v>
      </c>
      <c r="N168" s="15">
        <f t="shared" si="5"/>
        <v>0</v>
      </c>
      <c r="O168" s="2" t="s">
        <v>21</v>
      </c>
      <c r="P168" s="15">
        <f>IF(Form_Responses1[[#This Row],[phan_loai_the_lam_sang]]="Suy tim mất bù cấp", 1,0)</f>
        <v>1</v>
      </c>
      <c r="Q168" s="15">
        <f>IF(Form_Responses1[[#This Row],[phan_loai_the_lam_sang]]="Phù phổi cấp", 1, 0)</f>
        <v>0</v>
      </c>
      <c r="R168" s="15">
        <f>IF(Form_Responses1[[#This Row],[phan_loai_the_lam_sang]]="Choáng tim", 1, 0)</f>
        <v>0</v>
      </c>
      <c r="S168" s="2" t="s">
        <v>23</v>
      </c>
      <c r="T168" s="15">
        <v>80</v>
      </c>
      <c r="U168" s="15">
        <v>120</v>
      </c>
      <c r="V168" s="15">
        <v>80</v>
      </c>
      <c r="W168" s="15">
        <f>IF(Form_Responses1[[#This Row],[hcvc]]="Không", 0, 1)</f>
        <v>0</v>
      </c>
      <c r="X168" s="2" t="s">
        <v>21</v>
      </c>
      <c r="Y168" s="15">
        <f>IF(Form_Responses1[[#This Row],[suy_ho_hap]]="Không", 0, 1)</f>
        <v>1</v>
      </c>
      <c r="Z168" s="2" t="s">
        <v>22</v>
      </c>
      <c r="AA168" s="15">
        <f>IF(Form_Responses1[[#This Row],[rung_nhi]]="Không", 0, 1)</f>
        <v>0</v>
      </c>
      <c r="AB168" s="2" t="s">
        <v>21</v>
      </c>
      <c r="AC168" s="15">
        <v>413</v>
      </c>
      <c r="AD168" s="15">
        <v>7.0000000000000007E-2</v>
      </c>
      <c r="AE168" s="15">
        <v>12.1</v>
      </c>
      <c r="AF168" s="15">
        <v>151</v>
      </c>
      <c r="AG168" s="15">
        <v>156</v>
      </c>
      <c r="AH168" s="15">
        <v>143</v>
      </c>
      <c r="AI168" s="15">
        <v>3.5</v>
      </c>
      <c r="AJ168" s="15">
        <v>19</v>
      </c>
      <c r="AK168" s="15">
        <v>0.91</v>
      </c>
      <c r="AL168" s="2" t="s">
        <v>21</v>
      </c>
      <c r="AM168" s="2">
        <v>6419.3</v>
      </c>
      <c r="AN168" s="6">
        <f>IF(Form_Responses1[[#This Row],[NT_proBNP &gt; 35000]]="Có", 35001, Form_Responses1[[#This Row],[NT_ProBNP]])</f>
        <v>6419.3</v>
      </c>
      <c r="AO168" s="15">
        <f>IF(Form_Responses1[[#This Row],[NT_proBNP &gt; 35000]]="Có", 1, 0)</f>
        <v>0</v>
      </c>
      <c r="AP168" s="15">
        <v>55.3</v>
      </c>
      <c r="AQ168" s="15">
        <v>39</v>
      </c>
      <c r="AR168" s="15">
        <v>74</v>
      </c>
      <c r="AS168" s="15">
        <v>99</v>
      </c>
      <c r="AT168" s="27">
        <v>45</v>
      </c>
      <c r="AU168" s="15">
        <v>63</v>
      </c>
      <c r="AV168" s="15">
        <v>70</v>
      </c>
      <c r="AW168" s="15">
        <v>30</v>
      </c>
      <c r="AX168" s="15">
        <v>42</v>
      </c>
      <c r="AY168" s="22">
        <f>IF(Form_Responses1[[#This Row],[ket_cuc]]="Không tử vong", 0, 1)</f>
        <v>0</v>
      </c>
      <c r="AZ168" s="2" t="s">
        <v>24</v>
      </c>
      <c r="BA168" s="32">
        <v>32</v>
      </c>
      <c r="BB168" s="32">
        <v>4.0558732235818198E-2</v>
      </c>
    </row>
    <row r="169" spans="1:54" ht="13" x14ac:dyDescent="0.15">
      <c r="A169" s="1" t="s">
        <v>114</v>
      </c>
      <c r="B169" s="6">
        <v>47</v>
      </c>
      <c r="C169" s="6">
        <f>IF(Form_Responses1[[#This Row],[gioi_tinh]]="Nữ", 0, 1)</f>
        <v>0</v>
      </c>
      <c r="D169" s="1" t="s">
        <v>20</v>
      </c>
      <c r="E169" s="6">
        <v>27.3</v>
      </c>
      <c r="F169" s="6">
        <f>IF(Form_Responses1[[#This Row],[dai_thao_duong]]="Không", 0, 1)</f>
        <v>1</v>
      </c>
      <c r="G169" s="1" t="s">
        <v>22</v>
      </c>
      <c r="H169" s="6">
        <f t="shared" si="4"/>
        <v>1</v>
      </c>
      <c r="I169" s="1" t="s">
        <v>22</v>
      </c>
      <c r="J169" s="6">
        <f>IF(Form_Responses1[[#This Row],[hoi_chung_vanh_man]]="Không", 0, 1)</f>
        <v>0</v>
      </c>
      <c r="K169" s="1" t="s">
        <v>21</v>
      </c>
      <c r="L169" s="6">
        <f>IF(Form_Responses1[[#This Row],[ckd]]="Không", 0, 1)</f>
        <v>0</v>
      </c>
      <c r="M169" s="1" t="s">
        <v>21</v>
      </c>
      <c r="N169" s="6">
        <f t="shared" si="5"/>
        <v>0</v>
      </c>
      <c r="O169" s="1" t="s">
        <v>21</v>
      </c>
      <c r="P169" s="6">
        <f>IF(Form_Responses1[[#This Row],[phan_loai_the_lam_sang]]="Suy tim mất bù cấp", 1,0)</f>
        <v>1</v>
      </c>
      <c r="Q169" s="6">
        <f>IF(Form_Responses1[[#This Row],[phan_loai_the_lam_sang]]="Phù phổi cấp", 1, 0)</f>
        <v>0</v>
      </c>
      <c r="R169" s="6">
        <f>IF(Form_Responses1[[#This Row],[phan_loai_the_lam_sang]]="Choáng tim", 1, 0)</f>
        <v>0</v>
      </c>
      <c r="S169" s="1" t="s">
        <v>23</v>
      </c>
      <c r="T169" s="6">
        <v>105</v>
      </c>
      <c r="U169" s="6">
        <v>130</v>
      </c>
      <c r="V169" s="6">
        <v>70</v>
      </c>
      <c r="W169" s="6">
        <f>IF(Form_Responses1[[#This Row],[hcvc]]="Không", 0, 1)</f>
        <v>0</v>
      </c>
      <c r="X169" s="1" t="s">
        <v>21</v>
      </c>
      <c r="Y169" s="6">
        <f>IF(Form_Responses1[[#This Row],[suy_ho_hap]]="Không", 0, 1)</f>
        <v>0</v>
      </c>
      <c r="Z169" s="1" t="s">
        <v>21</v>
      </c>
      <c r="AA169" s="6">
        <f>IF(Form_Responses1[[#This Row],[rung_nhi]]="Không", 0, 1)</f>
        <v>0</v>
      </c>
      <c r="AB169" s="1" t="s">
        <v>21</v>
      </c>
      <c r="AC169" s="6">
        <v>413</v>
      </c>
      <c r="AD169" s="6">
        <v>0.08</v>
      </c>
      <c r="AE169" s="6">
        <v>12.06</v>
      </c>
      <c r="AF169" s="6">
        <v>114</v>
      </c>
      <c r="AG169" s="6">
        <v>280</v>
      </c>
      <c r="AH169" s="6">
        <v>128</v>
      </c>
      <c r="AI169" s="6">
        <v>3.8</v>
      </c>
      <c r="AJ169" s="6">
        <v>24</v>
      </c>
      <c r="AK169" s="6">
        <v>0.71</v>
      </c>
      <c r="AL169" s="1" t="s">
        <v>21</v>
      </c>
      <c r="AM169" s="28">
        <v>1707.2</v>
      </c>
      <c r="AN169" s="6">
        <f>IF(Form_Responses1[[#This Row],[NT_proBNP &gt; 35000]]="Có", 35001, Form_Responses1[[#This Row],[NT_ProBNP]])</f>
        <v>1707.2</v>
      </c>
      <c r="AO169" s="27">
        <f>IF(Form_Responses1[[#This Row],[NT_proBNP &gt; 35000]]="Có", 1, 0)</f>
        <v>0</v>
      </c>
      <c r="AP169" s="6">
        <v>70.400000000000006</v>
      </c>
      <c r="AQ169" s="6">
        <v>15</v>
      </c>
      <c r="AR169" s="6">
        <v>22</v>
      </c>
      <c r="AS169" s="27">
        <v>509</v>
      </c>
      <c r="AT169" s="6">
        <v>31</v>
      </c>
      <c r="AU169" s="6">
        <v>49</v>
      </c>
      <c r="AV169" s="6">
        <v>59</v>
      </c>
      <c r="AW169" s="6">
        <v>30</v>
      </c>
      <c r="AX169" s="13"/>
      <c r="AY169" s="23">
        <f>IF(Form_Responses1[[#This Row],[ket_cuc]]="Không tử vong", 0, 1)</f>
        <v>0</v>
      </c>
      <c r="AZ169" s="1" t="s">
        <v>24</v>
      </c>
      <c r="BA169" s="32">
        <v>40</v>
      </c>
      <c r="BB169" s="32">
        <v>5.5929968694075502E-2</v>
      </c>
    </row>
    <row r="170" spans="1:54" ht="13" x14ac:dyDescent="0.15">
      <c r="A170" s="2" t="s">
        <v>246</v>
      </c>
      <c r="B170" s="15">
        <v>57</v>
      </c>
      <c r="C170" s="15">
        <f>IF(Form_Responses1[[#This Row],[gioi_tinh]]="Nữ", 0, 1)</f>
        <v>1</v>
      </c>
      <c r="D170" s="2" t="s">
        <v>26</v>
      </c>
      <c r="E170" s="15">
        <v>14.7</v>
      </c>
      <c r="F170" s="15">
        <f>IF(Form_Responses1[[#This Row],[dai_thao_duong]]="Không", 0, 1)</f>
        <v>0</v>
      </c>
      <c r="G170" s="2" t="s">
        <v>21</v>
      </c>
      <c r="H170" s="15">
        <f t="shared" si="4"/>
        <v>0</v>
      </c>
      <c r="I170" s="2" t="s">
        <v>21</v>
      </c>
      <c r="J170" s="15">
        <f>IF(Form_Responses1[[#This Row],[hoi_chung_vanh_man]]="Không", 0, 1)</f>
        <v>0</v>
      </c>
      <c r="K170" s="2" t="s">
        <v>21</v>
      </c>
      <c r="L170" s="15">
        <f>IF(Form_Responses1[[#This Row],[ckd]]="Không", 0, 1)</f>
        <v>0</v>
      </c>
      <c r="M170" s="2" t="s">
        <v>21</v>
      </c>
      <c r="N170" s="15">
        <f t="shared" si="5"/>
        <v>0</v>
      </c>
      <c r="O170" s="2" t="s">
        <v>21</v>
      </c>
      <c r="P170" s="15">
        <f>IF(Form_Responses1[[#This Row],[phan_loai_the_lam_sang]]="Suy tim mất bù cấp", 1,0)</f>
        <v>0</v>
      </c>
      <c r="Q170" s="15">
        <f>IF(Form_Responses1[[#This Row],[phan_loai_the_lam_sang]]="Phù phổi cấp", 1, 0)</f>
        <v>1</v>
      </c>
      <c r="R170" s="15">
        <f>IF(Form_Responses1[[#This Row],[phan_loai_the_lam_sang]]="Choáng tim", 1, 0)</f>
        <v>0</v>
      </c>
      <c r="S170" s="2" t="s">
        <v>45</v>
      </c>
      <c r="T170" s="15">
        <v>116</v>
      </c>
      <c r="U170" s="15">
        <v>120</v>
      </c>
      <c r="V170" s="15">
        <v>80</v>
      </c>
      <c r="W170" s="15">
        <f>IF(Form_Responses1[[#This Row],[hcvc]]="Không", 0, 1)</f>
        <v>0</v>
      </c>
      <c r="X170" s="2" t="s">
        <v>21</v>
      </c>
      <c r="Y170" s="15">
        <f>IF(Form_Responses1[[#This Row],[suy_ho_hap]]="Không", 0, 1)</f>
        <v>1</v>
      </c>
      <c r="Z170" s="2" t="s">
        <v>22</v>
      </c>
      <c r="AA170" s="15">
        <f>IF(Form_Responses1[[#This Row],[rung_nhi]]="Không", 0, 1)</f>
        <v>0</v>
      </c>
      <c r="AB170" s="2" t="s">
        <v>21</v>
      </c>
      <c r="AC170" s="15">
        <v>444</v>
      </c>
      <c r="AD170" s="15">
        <v>0.11</v>
      </c>
      <c r="AE170" s="15">
        <v>7.44</v>
      </c>
      <c r="AF170" s="15">
        <v>143</v>
      </c>
      <c r="AG170" s="15">
        <v>134</v>
      </c>
      <c r="AH170" s="15">
        <v>126</v>
      </c>
      <c r="AI170" s="15">
        <v>4.9000000000000004</v>
      </c>
      <c r="AJ170" s="15">
        <v>21</v>
      </c>
      <c r="AK170" s="15">
        <v>1.36</v>
      </c>
      <c r="AL170" s="2" t="s">
        <v>21</v>
      </c>
      <c r="AM170" s="2">
        <v>25254</v>
      </c>
      <c r="AN170" s="6">
        <f>IF(Form_Responses1[[#This Row],[NT_proBNP &gt; 35000]]="Có", 35001, Form_Responses1[[#This Row],[NT_ProBNP]])</f>
        <v>25254</v>
      </c>
      <c r="AO170" s="15">
        <f>IF(Form_Responses1[[#This Row],[NT_proBNP &gt; 35000]]="Có", 1, 0)</f>
        <v>0</v>
      </c>
      <c r="AP170" s="15">
        <v>81.900000000000006</v>
      </c>
      <c r="AQ170" s="15">
        <v>57</v>
      </c>
      <c r="AR170" s="15">
        <v>47</v>
      </c>
      <c r="AS170" s="15">
        <v>167</v>
      </c>
      <c r="AT170" s="18"/>
      <c r="AU170" s="18"/>
      <c r="AV170" s="15">
        <v>67</v>
      </c>
      <c r="AW170" s="15">
        <v>30</v>
      </c>
      <c r="AX170" s="15">
        <v>20</v>
      </c>
      <c r="AY170" s="22">
        <f>IF(Form_Responses1[[#This Row],[ket_cuc]]="Không tử vong", 0, 1)</f>
        <v>0</v>
      </c>
      <c r="AZ170" s="2" t="s">
        <v>24</v>
      </c>
      <c r="BA170" s="32">
        <v>45</v>
      </c>
      <c r="BB170" s="32">
        <v>6.6013667555685468E-2</v>
      </c>
    </row>
    <row r="171" spans="1:54" ht="13" x14ac:dyDescent="0.15">
      <c r="A171" s="1" t="s">
        <v>65</v>
      </c>
      <c r="B171" s="6">
        <v>58</v>
      </c>
      <c r="C171" s="6">
        <f>IF(Form_Responses1[[#This Row],[gioi_tinh]]="Nữ", 0, 1)</f>
        <v>0</v>
      </c>
      <c r="D171" s="1" t="s">
        <v>20</v>
      </c>
      <c r="E171" s="6">
        <v>23.1</v>
      </c>
      <c r="F171" s="6">
        <f>IF(Form_Responses1[[#This Row],[dai_thao_duong]]="Không", 0, 1)</f>
        <v>1</v>
      </c>
      <c r="G171" s="1" t="s">
        <v>22</v>
      </c>
      <c r="H171" s="6">
        <f t="shared" si="4"/>
        <v>1</v>
      </c>
      <c r="I171" s="1" t="s">
        <v>22</v>
      </c>
      <c r="J171" s="6">
        <f>IF(Form_Responses1[[#This Row],[hoi_chung_vanh_man]]="Không", 0, 1)</f>
        <v>0</v>
      </c>
      <c r="K171" s="1" t="s">
        <v>21</v>
      </c>
      <c r="L171" s="6">
        <f>IF(Form_Responses1[[#This Row],[ckd]]="Không", 0, 1)</f>
        <v>1</v>
      </c>
      <c r="M171" s="1" t="s">
        <v>22</v>
      </c>
      <c r="N171" s="6">
        <f t="shared" si="5"/>
        <v>0</v>
      </c>
      <c r="O171" s="1" t="s">
        <v>21</v>
      </c>
      <c r="P171" s="6">
        <f>IF(Form_Responses1[[#This Row],[phan_loai_the_lam_sang]]="Suy tim mất bù cấp", 1,0)</f>
        <v>1</v>
      </c>
      <c r="Q171" s="6">
        <f>IF(Form_Responses1[[#This Row],[phan_loai_the_lam_sang]]="Phù phổi cấp", 1, 0)</f>
        <v>0</v>
      </c>
      <c r="R171" s="6">
        <f>IF(Form_Responses1[[#This Row],[phan_loai_the_lam_sang]]="Choáng tim", 1, 0)</f>
        <v>0</v>
      </c>
      <c r="S171" s="1" t="s">
        <v>23</v>
      </c>
      <c r="T171" s="6">
        <v>88</v>
      </c>
      <c r="U171" s="6">
        <v>130</v>
      </c>
      <c r="V171" s="6">
        <v>80</v>
      </c>
      <c r="W171" s="6">
        <f>IF(Form_Responses1[[#This Row],[hcvc]]="Không", 0, 1)</f>
        <v>0</v>
      </c>
      <c r="X171" s="1" t="s">
        <v>21</v>
      </c>
      <c r="Y171" s="6">
        <f>IF(Form_Responses1[[#This Row],[suy_ho_hap]]="Không", 0, 1)</f>
        <v>0</v>
      </c>
      <c r="Z171" s="1" t="s">
        <v>21</v>
      </c>
      <c r="AA171" s="6">
        <f>IF(Form_Responses1[[#This Row],[rung_nhi]]="Không", 0, 1)</f>
        <v>0</v>
      </c>
      <c r="AB171" s="1" t="s">
        <v>21</v>
      </c>
      <c r="AC171" s="6">
        <v>437</v>
      </c>
      <c r="AD171" s="6">
        <v>0.08</v>
      </c>
      <c r="AE171" s="27">
        <v>6.02</v>
      </c>
      <c r="AF171" s="27">
        <v>139</v>
      </c>
      <c r="AG171" s="27">
        <v>233</v>
      </c>
      <c r="AH171" s="6">
        <v>137</v>
      </c>
      <c r="AI171" s="6">
        <v>4.3</v>
      </c>
      <c r="AJ171" s="6">
        <v>13.1</v>
      </c>
      <c r="AK171" s="6">
        <v>1.45</v>
      </c>
      <c r="AL171" s="1" t="s">
        <v>21</v>
      </c>
      <c r="AM171" s="28">
        <v>20786.400000000001</v>
      </c>
      <c r="AN171" s="6">
        <f>IF(Form_Responses1[[#This Row],[NT_proBNP &gt; 35000]]="Có", 35001, Form_Responses1[[#This Row],[NT_ProBNP]])</f>
        <v>20786.400000000001</v>
      </c>
      <c r="AO171" s="27">
        <f>IF(Form_Responses1[[#This Row],[NT_proBNP &gt; 35000]]="Có", 1, 0)</f>
        <v>0</v>
      </c>
      <c r="AP171" s="6">
        <v>142.80000000000001</v>
      </c>
      <c r="AQ171" s="6">
        <v>24</v>
      </c>
      <c r="AR171" s="6">
        <v>16</v>
      </c>
      <c r="AS171" s="6">
        <v>379</v>
      </c>
      <c r="AT171" s="6">
        <v>34</v>
      </c>
      <c r="AU171" s="6">
        <v>51</v>
      </c>
      <c r="AV171" s="6">
        <v>64</v>
      </c>
      <c r="AW171" s="6">
        <v>30</v>
      </c>
      <c r="AX171" s="27">
        <v>53</v>
      </c>
      <c r="AY171" s="29">
        <f>IF(Form_Responses1[[#This Row],[ket_cuc]]="Không tử vong", 0, 1)</f>
        <v>0</v>
      </c>
      <c r="AZ171" s="1" t="s">
        <v>24</v>
      </c>
      <c r="BA171" s="32">
        <v>33</v>
      </c>
      <c r="BB171" s="32">
        <v>4.089157803411287E-2</v>
      </c>
    </row>
    <row r="172" spans="1:54" s="5" customFormat="1" ht="13" x14ac:dyDescent="0.15">
      <c r="A172" s="2" t="s">
        <v>206</v>
      </c>
      <c r="B172" s="15">
        <v>72</v>
      </c>
      <c r="C172" s="15">
        <f>IF(Form_Responses1[[#This Row],[gioi_tinh]]="Nữ", 0, 1)</f>
        <v>0</v>
      </c>
      <c r="D172" s="2" t="s">
        <v>20</v>
      </c>
      <c r="E172" s="15">
        <v>20.8</v>
      </c>
      <c r="F172" s="15">
        <f>IF(Form_Responses1[[#This Row],[dai_thao_duong]]="Không", 0, 1)</f>
        <v>1</v>
      </c>
      <c r="G172" s="2" t="s">
        <v>22</v>
      </c>
      <c r="H172" s="15">
        <f t="shared" si="4"/>
        <v>1</v>
      </c>
      <c r="I172" s="2" t="s">
        <v>22</v>
      </c>
      <c r="J172" s="15">
        <f>IF(Form_Responses1[[#This Row],[hoi_chung_vanh_man]]="Không", 0, 1)</f>
        <v>1</v>
      </c>
      <c r="K172" s="2" t="s">
        <v>22</v>
      </c>
      <c r="L172" s="15">
        <f>IF(Form_Responses1[[#This Row],[ckd]]="Không", 0, 1)</f>
        <v>0</v>
      </c>
      <c r="M172" s="2" t="s">
        <v>21</v>
      </c>
      <c r="N172" s="15">
        <f t="shared" si="5"/>
        <v>0</v>
      </c>
      <c r="O172" s="2" t="s">
        <v>21</v>
      </c>
      <c r="P172" s="15">
        <f>IF(Form_Responses1[[#This Row],[phan_loai_the_lam_sang]]="Suy tim mất bù cấp", 1,0)</f>
        <v>1</v>
      </c>
      <c r="Q172" s="15">
        <f>IF(Form_Responses1[[#This Row],[phan_loai_the_lam_sang]]="Phù phổi cấp", 1, 0)</f>
        <v>0</v>
      </c>
      <c r="R172" s="15">
        <f>IF(Form_Responses1[[#This Row],[phan_loai_the_lam_sang]]="Choáng tim", 1, 0)</f>
        <v>0</v>
      </c>
      <c r="S172" s="2" t="s">
        <v>23</v>
      </c>
      <c r="T172" s="15">
        <v>88</v>
      </c>
      <c r="U172" s="15">
        <v>110</v>
      </c>
      <c r="V172" s="15">
        <v>70</v>
      </c>
      <c r="W172" s="15">
        <f>IF(Form_Responses1[[#This Row],[hcvc]]="Không", 0, 1)</f>
        <v>1</v>
      </c>
      <c r="X172" s="2" t="s">
        <v>22</v>
      </c>
      <c r="Y172" s="15">
        <f>IF(Form_Responses1[[#This Row],[suy_ho_hap]]="Không", 0, 1)</f>
        <v>0</v>
      </c>
      <c r="Z172" s="2" t="s">
        <v>21</v>
      </c>
      <c r="AA172" s="15">
        <f>IF(Form_Responses1[[#This Row],[rung_nhi]]="Không", 0, 1)</f>
        <v>0</v>
      </c>
      <c r="AB172" s="2" t="s">
        <v>21</v>
      </c>
      <c r="AC172" s="15">
        <v>471</v>
      </c>
      <c r="AD172" s="15">
        <v>0.08</v>
      </c>
      <c r="AE172" s="15">
        <v>10.130000000000001</v>
      </c>
      <c r="AF172" s="15">
        <v>116</v>
      </c>
      <c r="AG172" s="15">
        <v>363</v>
      </c>
      <c r="AH172" s="15">
        <v>139</v>
      </c>
      <c r="AI172" s="15">
        <v>3</v>
      </c>
      <c r="AJ172" s="15">
        <v>27</v>
      </c>
      <c r="AK172" s="15">
        <v>0.72</v>
      </c>
      <c r="AL172" s="2" t="s">
        <v>21</v>
      </c>
      <c r="AM172" s="2">
        <v>14685</v>
      </c>
      <c r="AN172" s="6">
        <f>IF(Form_Responses1[[#This Row],[NT_proBNP &gt; 35000]]="Có", 35001, Form_Responses1[[#This Row],[NT_ProBNP]])</f>
        <v>14685</v>
      </c>
      <c r="AO172" s="15">
        <f>IF(Form_Responses1[[#This Row],[NT_proBNP &gt; 35000]]="Có", 1, 0)</f>
        <v>0</v>
      </c>
      <c r="AP172" s="15">
        <v>180.2</v>
      </c>
      <c r="AQ172" s="15">
        <v>48</v>
      </c>
      <c r="AR172" s="15">
        <v>30</v>
      </c>
      <c r="AS172" s="15">
        <v>144</v>
      </c>
      <c r="AT172" s="18"/>
      <c r="AU172" s="15">
        <v>38.9</v>
      </c>
      <c r="AV172" s="15">
        <v>49.2</v>
      </c>
      <c r="AW172" s="15">
        <v>30</v>
      </c>
      <c r="AX172" s="15">
        <v>35</v>
      </c>
      <c r="AY172" s="22">
        <f>IF(Form_Responses1[[#This Row],[ket_cuc]]="Không tử vong", 0, 1)</f>
        <v>0</v>
      </c>
      <c r="AZ172" s="2" t="s">
        <v>24</v>
      </c>
      <c r="BA172" s="32">
        <v>44</v>
      </c>
      <c r="BB172" s="32">
        <v>9.4046384075891817E-2</v>
      </c>
    </row>
    <row r="173" spans="1:54" ht="13" x14ac:dyDescent="0.15">
      <c r="A173" s="1" t="s">
        <v>257</v>
      </c>
      <c r="B173" s="6">
        <v>67</v>
      </c>
      <c r="C173" s="6">
        <f>IF(Form_Responses1[[#This Row],[gioi_tinh]]="Nữ", 0, 1)</f>
        <v>0</v>
      </c>
      <c r="D173" s="1" t="s">
        <v>20</v>
      </c>
      <c r="E173" s="6">
        <v>24.4</v>
      </c>
      <c r="F173" s="6">
        <f>IF(Form_Responses1[[#This Row],[dai_thao_duong]]="Không", 0, 1)</f>
        <v>0</v>
      </c>
      <c r="G173" s="1" t="s">
        <v>21</v>
      </c>
      <c r="H173" s="6">
        <f t="shared" si="4"/>
        <v>0</v>
      </c>
      <c r="I173" s="1" t="s">
        <v>21</v>
      </c>
      <c r="J173" s="6">
        <f>IF(Form_Responses1[[#This Row],[hoi_chung_vanh_man]]="Không", 0, 1)</f>
        <v>0</v>
      </c>
      <c r="K173" s="1" t="s">
        <v>21</v>
      </c>
      <c r="L173" s="6">
        <f>IF(Form_Responses1[[#This Row],[ckd]]="Không", 0, 1)</f>
        <v>1</v>
      </c>
      <c r="M173" s="1" t="s">
        <v>22</v>
      </c>
      <c r="N173" s="6">
        <f t="shared" si="5"/>
        <v>0</v>
      </c>
      <c r="O173" s="1" t="s">
        <v>21</v>
      </c>
      <c r="P173" s="6">
        <f>IF(Form_Responses1[[#This Row],[phan_loai_the_lam_sang]]="Suy tim mất bù cấp", 1,0)</f>
        <v>1</v>
      </c>
      <c r="Q173" s="6">
        <f>IF(Form_Responses1[[#This Row],[phan_loai_the_lam_sang]]="Phù phổi cấp", 1, 0)</f>
        <v>0</v>
      </c>
      <c r="R173" s="6">
        <f>IF(Form_Responses1[[#This Row],[phan_loai_the_lam_sang]]="Choáng tim", 1, 0)</f>
        <v>0</v>
      </c>
      <c r="S173" s="1" t="s">
        <v>23</v>
      </c>
      <c r="T173" s="6">
        <v>76</v>
      </c>
      <c r="U173" s="6">
        <v>140</v>
      </c>
      <c r="V173" s="6">
        <v>80</v>
      </c>
      <c r="W173" s="6">
        <f>IF(Form_Responses1[[#This Row],[hcvc]]="Không", 0, 1)</f>
        <v>0</v>
      </c>
      <c r="X173" s="1" t="s">
        <v>21</v>
      </c>
      <c r="Y173" s="6">
        <f>IF(Form_Responses1[[#This Row],[suy_ho_hap]]="Không", 0, 1)</f>
        <v>1</v>
      </c>
      <c r="Z173" s="1" t="s">
        <v>22</v>
      </c>
      <c r="AA173" s="6">
        <f>IF(Form_Responses1[[#This Row],[rung_nhi]]="Không", 0, 1)</f>
        <v>1</v>
      </c>
      <c r="AB173" s="1" t="s">
        <v>22</v>
      </c>
      <c r="AC173" s="6">
        <v>468</v>
      </c>
      <c r="AD173" s="6">
        <v>0.08</v>
      </c>
      <c r="AE173" s="6">
        <v>6.1</v>
      </c>
      <c r="AF173" s="6">
        <v>94</v>
      </c>
      <c r="AG173" s="6">
        <v>198</v>
      </c>
      <c r="AH173" s="6">
        <v>123</v>
      </c>
      <c r="AI173" s="6">
        <v>4</v>
      </c>
      <c r="AJ173" s="6">
        <v>51</v>
      </c>
      <c r="AK173" s="6">
        <v>3.37</v>
      </c>
      <c r="AL173" s="1" t="s">
        <v>21</v>
      </c>
      <c r="AM173" s="1">
        <v>26261</v>
      </c>
      <c r="AN173" s="6">
        <f>IF(Form_Responses1[[#This Row],[NT_proBNP &gt; 35000]]="Có", 35001, Form_Responses1[[#This Row],[NT_ProBNP]])</f>
        <v>26261</v>
      </c>
      <c r="AO173" s="6">
        <f>IF(Form_Responses1[[#This Row],[NT_proBNP &gt; 35000]]="Có", 1, 0)</f>
        <v>0</v>
      </c>
      <c r="AP173" s="6">
        <v>244.3</v>
      </c>
      <c r="AQ173" s="6">
        <v>41</v>
      </c>
      <c r="AR173" s="6">
        <v>33</v>
      </c>
      <c r="AS173" s="6">
        <v>96</v>
      </c>
      <c r="AT173" s="6">
        <v>39</v>
      </c>
      <c r="AU173" s="6">
        <v>42</v>
      </c>
      <c r="AV173" s="6">
        <v>56</v>
      </c>
      <c r="AW173" s="6">
        <v>30</v>
      </c>
      <c r="AX173" s="6">
        <v>80</v>
      </c>
      <c r="AY173" s="24">
        <f>IF(Form_Responses1[[#This Row],[ket_cuc]]="Không tử vong", 0, 1)</f>
        <v>0</v>
      </c>
      <c r="AZ173" s="1" t="s">
        <v>24</v>
      </c>
      <c r="BA173" s="32">
        <v>41</v>
      </c>
      <c r="BB173" s="32">
        <v>9.5383973662022198E-2</v>
      </c>
    </row>
    <row r="174" spans="1:54" ht="13" x14ac:dyDescent="0.15">
      <c r="A174" s="2" t="s">
        <v>121</v>
      </c>
      <c r="B174" s="15">
        <v>65</v>
      </c>
      <c r="C174" s="15">
        <f>IF(Form_Responses1[[#This Row],[gioi_tinh]]="Nữ", 0, 1)</f>
        <v>0</v>
      </c>
      <c r="D174" s="2" t="s">
        <v>20</v>
      </c>
      <c r="E174" s="15">
        <v>20</v>
      </c>
      <c r="F174" s="15">
        <f>IF(Form_Responses1[[#This Row],[dai_thao_duong]]="Không", 0, 1)</f>
        <v>0</v>
      </c>
      <c r="G174" s="2" t="s">
        <v>21</v>
      </c>
      <c r="H174" s="15">
        <f t="shared" si="4"/>
        <v>1</v>
      </c>
      <c r="I174" s="2" t="s">
        <v>22</v>
      </c>
      <c r="J174" s="15">
        <f>IF(Form_Responses1[[#This Row],[hoi_chung_vanh_man]]="Không", 0, 1)</f>
        <v>1</v>
      </c>
      <c r="K174" s="2" t="s">
        <v>22</v>
      </c>
      <c r="L174" s="15">
        <f>IF(Form_Responses1[[#This Row],[ckd]]="Không", 0, 1)</f>
        <v>0</v>
      </c>
      <c r="M174" s="2" t="s">
        <v>21</v>
      </c>
      <c r="N174" s="15">
        <f t="shared" si="5"/>
        <v>0</v>
      </c>
      <c r="O174" s="2" t="s">
        <v>21</v>
      </c>
      <c r="P174" s="15">
        <f>IF(Form_Responses1[[#This Row],[phan_loai_the_lam_sang]]="Suy tim mất bù cấp", 1,0)</f>
        <v>1</v>
      </c>
      <c r="Q174" s="15">
        <f>IF(Form_Responses1[[#This Row],[phan_loai_the_lam_sang]]="Phù phổi cấp", 1, 0)</f>
        <v>0</v>
      </c>
      <c r="R174" s="15">
        <f>IF(Form_Responses1[[#This Row],[phan_loai_the_lam_sang]]="Choáng tim", 1, 0)</f>
        <v>0</v>
      </c>
      <c r="S174" s="2" t="s">
        <v>23</v>
      </c>
      <c r="T174" s="15">
        <v>110</v>
      </c>
      <c r="U174" s="15">
        <v>120</v>
      </c>
      <c r="V174" s="15">
        <v>70</v>
      </c>
      <c r="W174" s="15">
        <f>IF(Form_Responses1[[#This Row],[hcvc]]="Không", 0, 1)</f>
        <v>0</v>
      </c>
      <c r="X174" s="2" t="s">
        <v>21</v>
      </c>
      <c r="Y174" s="15">
        <f>IF(Form_Responses1[[#This Row],[suy_ho_hap]]="Không", 0, 1)</f>
        <v>1</v>
      </c>
      <c r="Z174" s="2" t="s">
        <v>22</v>
      </c>
      <c r="AA174" s="15">
        <f>IF(Form_Responses1[[#This Row],[rung_nhi]]="Không", 0, 1)</f>
        <v>0</v>
      </c>
      <c r="AB174" s="2" t="s">
        <v>21</v>
      </c>
      <c r="AC174" s="15">
        <v>388</v>
      </c>
      <c r="AD174" s="15">
        <v>0.12</v>
      </c>
      <c r="AE174" s="15">
        <v>12.19</v>
      </c>
      <c r="AF174" s="15">
        <v>80</v>
      </c>
      <c r="AG174" s="15">
        <v>380</v>
      </c>
      <c r="AH174" s="15">
        <v>131</v>
      </c>
      <c r="AI174" s="15">
        <v>3.5</v>
      </c>
      <c r="AJ174" s="15">
        <v>25</v>
      </c>
      <c r="AK174" s="15">
        <v>0.73</v>
      </c>
      <c r="AL174" s="2" t="s">
        <v>21</v>
      </c>
      <c r="AM174" s="28">
        <v>10177.049999999999</v>
      </c>
      <c r="AN174" s="6">
        <f>IF(Form_Responses1[[#This Row],[NT_proBNP &gt; 35000]]="Có", 35001, Form_Responses1[[#This Row],[NT_ProBNP]])</f>
        <v>10177.049999999999</v>
      </c>
      <c r="AO174" s="27">
        <f>IF(Form_Responses1[[#This Row],[NT_proBNP &gt; 35000]]="Có", 1, 0)</f>
        <v>0</v>
      </c>
      <c r="AP174" s="15">
        <v>491.72</v>
      </c>
      <c r="AQ174" s="15">
        <v>115</v>
      </c>
      <c r="AR174" s="15">
        <v>71</v>
      </c>
      <c r="AS174" s="15">
        <v>78</v>
      </c>
      <c r="AT174" s="15">
        <v>42</v>
      </c>
      <c r="AU174" s="15">
        <v>58</v>
      </c>
      <c r="AV174" s="15">
        <v>68</v>
      </c>
      <c r="AW174" s="15">
        <v>30</v>
      </c>
      <c r="AX174" s="18"/>
      <c r="AY174" s="26">
        <f>IF(Form_Responses1[[#This Row],[ket_cuc]]="Không tử vong", 0, 1)</f>
        <v>1</v>
      </c>
      <c r="AZ174" s="2" t="s">
        <v>29</v>
      </c>
      <c r="BA174" s="32">
        <v>47</v>
      </c>
      <c r="BB174" s="32">
        <v>9.7880468900818363E-2</v>
      </c>
    </row>
    <row r="175" spans="1:54" ht="13" x14ac:dyDescent="0.15">
      <c r="A175" s="1" t="s">
        <v>147</v>
      </c>
      <c r="B175" s="6">
        <v>77</v>
      </c>
      <c r="C175" s="6">
        <f>IF(Form_Responses1[[#This Row],[gioi_tinh]]="Nữ", 0, 1)</f>
        <v>0</v>
      </c>
      <c r="D175" s="1" t="s">
        <v>20</v>
      </c>
      <c r="E175" s="6">
        <v>21.3</v>
      </c>
      <c r="F175" s="6">
        <f>IF(Form_Responses1[[#This Row],[dai_thao_duong]]="Không", 0, 1)</f>
        <v>0</v>
      </c>
      <c r="G175" s="1" t="s">
        <v>21</v>
      </c>
      <c r="H175" s="6">
        <f t="shared" si="4"/>
        <v>1</v>
      </c>
      <c r="I175" s="1" t="s">
        <v>22</v>
      </c>
      <c r="J175" s="6">
        <f>IF(Form_Responses1[[#This Row],[hoi_chung_vanh_man]]="Không", 0, 1)</f>
        <v>0</v>
      </c>
      <c r="K175" s="1" t="s">
        <v>21</v>
      </c>
      <c r="L175" s="6">
        <f>IF(Form_Responses1[[#This Row],[ckd]]="Không", 0, 1)</f>
        <v>0</v>
      </c>
      <c r="M175" s="1" t="s">
        <v>21</v>
      </c>
      <c r="N175" s="6">
        <f t="shared" si="5"/>
        <v>0</v>
      </c>
      <c r="O175" s="1" t="s">
        <v>21</v>
      </c>
      <c r="P175" s="6">
        <f>IF(Form_Responses1[[#This Row],[phan_loai_the_lam_sang]]="Suy tim mất bù cấp", 1,0)</f>
        <v>1</v>
      </c>
      <c r="Q175" s="6">
        <f>IF(Form_Responses1[[#This Row],[phan_loai_the_lam_sang]]="Phù phổi cấp", 1, 0)</f>
        <v>0</v>
      </c>
      <c r="R175" s="6">
        <f>IF(Form_Responses1[[#This Row],[phan_loai_the_lam_sang]]="Choáng tim", 1, 0)</f>
        <v>0</v>
      </c>
      <c r="S175" s="1" t="s">
        <v>23</v>
      </c>
      <c r="T175" s="6">
        <v>140</v>
      </c>
      <c r="U175" s="6">
        <v>140</v>
      </c>
      <c r="V175" s="6">
        <v>90</v>
      </c>
      <c r="W175" s="6">
        <f>IF(Form_Responses1[[#This Row],[hcvc]]="Không", 0, 1)</f>
        <v>0</v>
      </c>
      <c r="X175" s="1" t="s">
        <v>21</v>
      </c>
      <c r="Y175" s="6">
        <f>IF(Form_Responses1[[#This Row],[suy_ho_hap]]="Không", 0, 1)</f>
        <v>1</v>
      </c>
      <c r="Z175" s="1" t="s">
        <v>22</v>
      </c>
      <c r="AA175" s="6">
        <f>IF(Form_Responses1[[#This Row],[rung_nhi]]="Không", 0, 1)</f>
        <v>0</v>
      </c>
      <c r="AB175" s="1" t="s">
        <v>21</v>
      </c>
      <c r="AC175" s="6">
        <v>482</v>
      </c>
      <c r="AD175" s="6">
        <v>0.1</v>
      </c>
      <c r="AE175" s="6">
        <v>20.67</v>
      </c>
      <c r="AF175" s="6">
        <v>111</v>
      </c>
      <c r="AG175" s="6">
        <v>383</v>
      </c>
      <c r="AH175" s="6">
        <v>141</v>
      </c>
      <c r="AI175" s="6">
        <v>3.3</v>
      </c>
      <c r="AJ175" s="6">
        <v>18</v>
      </c>
      <c r="AK175" s="6">
        <v>1.1200000000000001</v>
      </c>
      <c r="AL175" s="1" t="s">
        <v>21</v>
      </c>
      <c r="AM175" s="1">
        <v>29935</v>
      </c>
      <c r="AN175" s="6">
        <f>IF(Form_Responses1[[#This Row],[NT_proBNP &gt; 35000]]="Có", 35001, Form_Responses1[[#This Row],[NT_ProBNP]])</f>
        <v>29935</v>
      </c>
      <c r="AO175" s="6">
        <f>IF(Form_Responses1[[#This Row],[NT_proBNP &gt; 35000]]="Có", 1, 0)</f>
        <v>0</v>
      </c>
      <c r="AP175" s="6">
        <v>494.11</v>
      </c>
      <c r="AQ175" s="6">
        <v>134</v>
      </c>
      <c r="AR175" s="6">
        <v>50</v>
      </c>
      <c r="AS175" s="6">
        <v>310</v>
      </c>
      <c r="AT175" s="6">
        <v>18.5</v>
      </c>
      <c r="AU175" s="6">
        <v>42.6</v>
      </c>
      <c r="AV175" s="6">
        <v>49.1</v>
      </c>
      <c r="AW175" s="6">
        <v>30</v>
      </c>
      <c r="AX175" s="6">
        <v>27</v>
      </c>
      <c r="AY175" s="24">
        <f>IF(Form_Responses1[[#This Row],[ket_cuc]]="Không tử vong", 0, 1)</f>
        <v>0</v>
      </c>
      <c r="AZ175" s="1" t="s">
        <v>24</v>
      </c>
      <c r="BA175" s="32">
        <v>41</v>
      </c>
      <c r="BB175" s="32">
        <v>0.11765775341871985</v>
      </c>
    </row>
    <row r="176" spans="1:54" ht="13" x14ac:dyDescent="0.15">
      <c r="A176" s="2" t="s">
        <v>263</v>
      </c>
      <c r="B176" s="15">
        <v>61</v>
      </c>
      <c r="C176" s="15">
        <f>IF(Form_Responses1[[#This Row],[gioi_tinh]]="Nữ", 0, 1)</f>
        <v>1</v>
      </c>
      <c r="D176" s="2" t="s">
        <v>26</v>
      </c>
      <c r="E176" s="15">
        <v>24.2</v>
      </c>
      <c r="F176" s="15">
        <f>IF(Form_Responses1[[#This Row],[dai_thao_duong]]="Không", 0, 1)</f>
        <v>1</v>
      </c>
      <c r="G176" s="2" t="s">
        <v>22</v>
      </c>
      <c r="H176" s="15">
        <f t="shared" si="4"/>
        <v>1</v>
      </c>
      <c r="I176" s="2" t="s">
        <v>22</v>
      </c>
      <c r="J176" s="15">
        <f>IF(Form_Responses1[[#This Row],[hoi_chung_vanh_man]]="Không", 0, 1)</f>
        <v>1</v>
      </c>
      <c r="K176" s="2" t="s">
        <v>22</v>
      </c>
      <c r="L176" s="15">
        <f>IF(Form_Responses1[[#This Row],[ckd]]="Không", 0, 1)</f>
        <v>0</v>
      </c>
      <c r="M176" s="2" t="s">
        <v>21</v>
      </c>
      <c r="N176" s="15">
        <f t="shared" si="5"/>
        <v>0</v>
      </c>
      <c r="O176" s="2" t="s">
        <v>21</v>
      </c>
      <c r="P176" s="15">
        <f>IF(Form_Responses1[[#This Row],[phan_loai_the_lam_sang]]="Suy tim mất bù cấp", 1,0)</f>
        <v>1</v>
      </c>
      <c r="Q176" s="15">
        <f>IF(Form_Responses1[[#This Row],[phan_loai_the_lam_sang]]="Phù phổi cấp", 1, 0)</f>
        <v>0</v>
      </c>
      <c r="R176" s="15">
        <f>IF(Form_Responses1[[#This Row],[phan_loai_the_lam_sang]]="Choáng tim", 1, 0)</f>
        <v>0</v>
      </c>
      <c r="S176" s="2" t="s">
        <v>23</v>
      </c>
      <c r="T176" s="15">
        <v>95</v>
      </c>
      <c r="U176" s="15">
        <v>120</v>
      </c>
      <c r="V176" s="15">
        <v>80</v>
      </c>
      <c r="W176" s="15">
        <f>IF(Form_Responses1[[#This Row],[hcvc]]="Không", 0, 1)</f>
        <v>0</v>
      </c>
      <c r="X176" s="2" t="s">
        <v>21</v>
      </c>
      <c r="Y176" s="15">
        <f>IF(Form_Responses1[[#This Row],[suy_ho_hap]]="Không", 0, 1)</f>
        <v>0</v>
      </c>
      <c r="Z176" s="2" t="s">
        <v>21</v>
      </c>
      <c r="AA176" s="15">
        <f>IF(Form_Responses1[[#This Row],[rung_nhi]]="Không", 0, 1)</f>
        <v>0</v>
      </c>
      <c r="AB176" s="2" t="s">
        <v>21</v>
      </c>
      <c r="AC176" s="15">
        <v>406</v>
      </c>
      <c r="AD176" s="15">
        <v>0.12</v>
      </c>
      <c r="AE176" s="15">
        <v>10.6</v>
      </c>
      <c r="AF176" s="15">
        <v>125</v>
      </c>
      <c r="AG176" s="15">
        <v>219</v>
      </c>
      <c r="AH176" s="15">
        <v>135</v>
      </c>
      <c r="AI176" s="15">
        <v>4</v>
      </c>
      <c r="AJ176" s="15">
        <v>37</v>
      </c>
      <c r="AK176" s="15">
        <v>1.69</v>
      </c>
      <c r="AL176" s="2" t="s">
        <v>21</v>
      </c>
      <c r="AM176" s="2">
        <v>16997.32</v>
      </c>
      <c r="AN176" s="6">
        <f>IF(Form_Responses1[[#This Row],[NT_proBNP &gt; 35000]]="Có", 35001, Form_Responses1[[#This Row],[NT_ProBNP]])</f>
        <v>16997.32</v>
      </c>
      <c r="AO176" s="15">
        <f>IF(Form_Responses1[[#This Row],[NT_proBNP &gt; 35000]]="Có", 1, 0)</f>
        <v>0</v>
      </c>
      <c r="AP176" s="15">
        <v>2585.8000000000002</v>
      </c>
      <c r="AQ176" s="15">
        <v>28</v>
      </c>
      <c r="AR176" s="15">
        <v>19</v>
      </c>
      <c r="AS176" s="15">
        <v>228</v>
      </c>
      <c r="AT176" s="18"/>
      <c r="AU176" s="15">
        <v>64.5</v>
      </c>
      <c r="AV176" s="15">
        <v>74.599999999999994</v>
      </c>
      <c r="AW176" s="15">
        <v>30</v>
      </c>
      <c r="AY176" s="25">
        <f>IF(Form_Responses1[[#This Row],[ket_cuc]]="Không tử vong", 0, 1)</f>
        <v>0</v>
      </c>
      <c r="AZ176" s="2" t="s">
        <v>24</v>
      </c>
      <c r="BA176" s="32">
        <v>45</v>
      </c>
      <c r="BB176" s="32">
        <v>7.7966666039157861E-2</v>
      </c>
    </row>
    <row r="177" spans="1:54" ht="13" x14ac:dyDescent="0.15">
      <c r="A177" s="1" t="s">
        <v>289</v>
      </c>
      <c r="B177" s="6">
        <v>87</v>
      </c>
      <c r="C177" s="6">
        <f>IF(Form_Responses1[[#This Row],[gioi_tinh]]="Nữ", 0, 1)</f>
        <v>0</v>
      </c>
      <c r="D177" s="1" t="s">
        <v>20</v>
      </c>
      <c r="E177" s="6">
        <v>26.7</v>
      </c>
      <c r="F177" s="6">
        <f>IF(Form_Responses1[[#This Row],[dai_thao_duong]]="Không", 0, 1)</f>
        <v>1</v>
      </c>
      <c r="G177" s="1" t="s">
        <v>22</v>
      </c>
      <c r="H177" s="6">
        <f t="shared" si="4"/>
        <v>0</v>
      </c>
      <c r="I177" s="1" t="s">
        <v>21</v>
      </c>
      <c r="J177" s="6">
        <f>IF(Form_Responses1[[#This Row],[hoi_chung_vanh_man]]="Không", 0, 1)</f>
        <v>0</v>
      </c>
      <c r="K177" s="1" t="s">
        <v>21</v>
      </c>
      <c r="L177" s="6">
        <f>IF(Form_Responses1[[#This Row],[ckd]]="Không", 0, 1)</f>
        <v>0</v>
      </c>
      <c r="M177" s="1" t="s">
        <v>21</v>
      </c>
      <c r="N177" s="6">
        <f t="shared" si="5"/>
        <v>0</v>
      </c>
      <c r="O177" s="1" t="s">
        <v>21</v>
      </c>
      <c r="P177" s="6">
        <f>IF(Form_Responses1[[#This Row],[phan_loai_the_lam_sang]]="Suy tim mất bù cấp", 1,0)</f>
        <v>1</v>
      </c>
      <c r="Q177" s="6">
        <f>IF(Form_Responses1[[#This Row],[phan_loai_the_lam_sang]]="Phù phổi cấp", 1, 0)</f>
        <v>0</v>
      </c>
      <c r="R177" s="6">
        <f>IF(Form_Responses1[[#This Row],[phan_loai_the_lam_sang]]="Choáng tim", 1, 0)</f>
        <v>0</v>
      </c>
      <c r="S177" s="1" t="s">
        <v>23</v>
      </c>
      <c r="T177" s="6">
        <v>104</v>
      </c>
      <c r="U177" s="6">
        <v>160</v>
      </c>
      <c r="V177" s="6">
        <v>100</v>
      </c>
      <c r="W177" s="6">
        <f>IF(Form_Responses1[[#This Row],[hcvc]]="Không", 0, 1)</f>
        <v>1</v>
      </c>
      <c r="X177" s="1" t="s">
        <v>22</v>
      </c>
      <c r="Y177" s="6">
        <f>IF(Form_Responses1[[#This Row],[suy_ho_hap]]="Không", 0, 1)</f>
        <v>1</v>
      </c>
      <c r="Z177" s="1" t="s">
        <v>22</v>
      </c>
      <c r="AA177" s="6">
        <f>IF(Form_Responses1[[#This Row],[rung_nhi]]="Không", 0, 1)</f>
        <v>0</v>
      </c>
      <c r="AB177" s="1" t="s">
        <v>21</v>
      </c>
      <c r="AC177" s="6">
        <v>400</v>
      </c>
      <c r="AD177" s="6">
        <v>0.08</v>
      </c>
      <c r="AE177" s="6">
        <v>10.8</v>
      </c>
      <c r="AF177" s="6">
        <v>126</v>
      </c>
      <c r="AG177" s="6">
        <v>205</v>
      </c>
      <c r="AH177" s="6">
        <v>132</v>
      </c>
      <c r="AI177" s="6">
        <v>3.7</v>
      </c>
      <c r="AJ177" s="6">
        <v>27</v>
      </c>
      <c r="AK177" s="6">
        <v>1.81</v>
      </c>
      <c r="AL177" s="1" t="s">
        <v>21</v>
      </c>
      <c r="AM177" s="1">
        <v>15801</v>
      </c>
      <c r="AN177" s="6">
        <f>IF(Form_Responses1[[#This Row],[NT_proBNP &gt; 35000]]="Có", 35001, Form_Responses1[[#This Row],[NT_ProBNP]])</f>
        <v>15801</v>
      </c>
      <c r="AO177" s="6">
        <f>IF(Form_Responses1[[#This Row],[NT_proBNP &gt; 35000]]="Có", 1, 0)</f>
        <v>0</v>
      </c>
      <c r="AP177" s="6">
        <v>9473.93</v>
      </c>
      <c r="AQ177" s="6">
        <v>76</v>
      </c>
      <c r="AR177" s="6">
        <v>59</v>
      </c>
      <c r="AS177" s="6">
        <v>230</v>
      </c>
      <c r="AT177" s="6">
        <v>37</v>
      </c>
      <c r="AU177" s="6">
        <v>52</v>
      </c>
      <c r="AV177" s="6">
        <v>62</v>
      </c>
      <c r="AW177" s="6">
        <v>30</v>
      </c>
      <c r="AY177" s="25">
        <f>IF(Form_Responses1[[#This Row],[ket_cuc]]="Không tử vong", 0, 1)</f>
        <v>0</v>
      </c>
      <c r="AZ177" s="1" t="s">
        <v>24</v>
      </c>
      <c r="BA177" s="32">
        <v>43</v>
      </c>
      <c r="BB177" s="32">
        <v>9.9786415002549006E-2</v>
      </c>
    </row>
    <row r="178" spans="1:54" ht="13" x14ac:dyDescent="0.15">
      <c r="A178" s="2" t="s">
        <v>76</v>
      </c>
      <c r="B178" s="15">
        <v>62</v>
      </c>
      <c r="C178" s="15">
        <f>IF(Form_Responses1[[#This Row],[gioi_tinh]]="Nữ", 0, 1)</f>
        <v>0</v>
      </c>
      <c r="D178" s="2" t="s">
        <v>20</v>
      </c>
      <c r="E178" s="15">
        <v>23.9</v>
      </c>
      <c r="F178" s="15">
        <f>IF(Form_Responses1[[#This Row],[dai_thao_duong]]="Không", 0, 1)</f>
        <v>0</v>
      </c>
      <c r="G178" s="2" t="s">
        <v>21</v>
      </c>
      <c r="H178" s="15">
        <f t="shared" si="4"/>
        <v>1</v>
      </c>
      <c r="I178" s="2" t="s">
        <v>22</v>
      </c>
      <c r="J178" s="15">
        <f>IF(Form_Responses1[[#This Row],[hoi_chung_vanh_man]]="Không", 0, 1)</f>
        <v>0</v>
      </c>
      <c r="K178" s="2" t="s">
        <v>21</v>
      </c>
      <c r="L178" s="15">
        <f>IF(Form_Responses1[[#This Row],[ckd]]="Không", 0, 1)</f>
        <v>0</v>
      </c>
      <c r="M178" s="2" t="s">
        <v>21</v>
      </c>
      <c r="N178" s="15">
        <f t="shared" si="5"/>
        <v>0</v>
      </c>
      <c r="O178" s="2" t="s">
        <v>21</v>
      </c>
      <c r="P178" s="15">
        <f>IF(Form_Responses1[[#This Row],[phan_loai_the_lam_sang]]="Suy tim mất bù cấp", 1,0)</f>
        <v>1</v>
      </c>
      <c r="Q178" s="15">
        <f>IF(Form_Responses1[[#This Row],[phan_loai_the_lam_sang]]="Phù phổi cấp", 1, 0)</f>
        <v>0</v>
      </c>
      <c r="R178" s="15">
        <f>IF(Form_Responses1[[#This Row],[phan_loai_the_lam_sang]]="Choáng tim", 1, 0)</f>
        <v>0</v>
      </c>
      <c r="S178" s="2" t="s">
        <v>23</v>
      </c>
      <c r="T178" s="15">
        <v>66</v>
      </c>
      <c r="U178" s="15">
        <v>140</v>
      </c>
      <c r="V178" s="15">
        <v>90</v>
      </c>
      <c r="W178" s="15">
        <f>IF(Form_Responses1[[#This Row],[hcvc]]="Không", 0, 1)</f>
        <v>0</v>
      </c>
      <c r="X178" s="2" t="s">
        <v>21</v>
      </c>
      <c r="Y178" s="15">
        <f>IF(Form_Responses1[[#This Row],[suy_ho_hap]]="Không", 0, 1)</f>
        <v>0</v>
      </c>
      <c r="Z178" s="2" t="s">
        <v>21</v>
      </c>
      <c r="AA178" s="15">
        <f>IF(Form_Responses1[[#This Row],[rung_nhi]]="Không", 0, 1)</f>
        <v>0</v>
      </c>
      <c r="AB178" s="2" t="s">
        <v>21</v>
      </c>
      <c r="AC178" s="15">
        <v>481</v>
      </c>
      <c r="AD178" s="15">
        <v>7.0000000000000007E-2</v>
      </c>
      <c r="AE178" s="15">
        <v>6.87</v>
      </c>
      <c r="AF178" s="15">
        <v>131</v>
      </c>
      <c r="AG178" s="15">
        <v>175</v>
      </c>
      <c r="AH178" s="15">
        <v>139</v>
      </c>
      <c r="AI178" s="15">
        <v>3.9</v>
      </c>
      <c r="AJ178" s="15">
        <v>28</v>
      </c>
      <c r="AK178" s="15">
        <v>1.23</v>
      </c>
      <c r="AL178" s="2" t="s">
        <v>21</v>
      </c>
      <c r="AM178" s="28">
        <v>3151</v>
      </c>
      <c r="AN178" s="6">
        <f>IF(Form_Responses1[[#This Row],[NT_proBNP &gt; 35000]]="Có", 35001, Form_Responses1[[#This Row],[NT_ProBNP]])</f>
        <v>3151</v>
      </c>
      <c r="AO178" s="27">
        <f>IF(Form_Responses1[[#This Row],[NT_proBNP &gt; 35000]]="Có", 1, 0)</f>
        <v>0</v>
      </c>
      <c r="AP178" s="18"/>
      <c r="AQ178" s="15">
        <v>44</v>
      </c>
      <c r="AR178" s="15">
        <v>40</v>
      </c>
      <c r="AS178" s="15">
        <v>103</v>
      </c>
      <c r="AT178" s="15">
        <v>47</v>
      </c>
      <c r="AU178" s="15">
        <v>52</v>
      </c>
      <c r="AV178" s="15">
        <v>61</v>
      </c>
      <c r="AW178" s="15">
        <v>30</v>
      </c>
      <c r="AX178" s="18"/>
      <c r="AY178" s="26">
        <f>IF(Form_Responses1[[#This Row],[ket_cuc]]="Không tử vong", 0, 1)</f>
        <v>0</v>
      </c>
      <c r="AZ178" s="2" t="s">
        <v>24</v>
      </c>
      <c r="BA178" s="32">
        <v>32</v>
      </c>
      <c r="BB178" s="32">
        <v>3.9007974920683988E-2</v>
      </c>
    </row>
    <row r="179" spans="1:54" ht="13" x14ac:dyDescent="0.15">
      <c r="A179" s="1" t="s">
        <v>249</v>
      </c>
      <c r="B179" s="6">
        <v>80</v>
      </c>
      <c r="C179" s="6">
        <f>IF(Form_Responses1[[#This Row],[gioi_tinh]]="Nữ", 0, 1)</f>
        <v>0</v>
      </c>
      <c r="D179" s="1" t="s">
        <v>20</v>
      </c>
      <c r="E179" s="6">
        <v>27.1</v>
      </c>
      <c r="F179" s="6">
        <f>IF(Form_Responses1[[#This Row],[dai_thao_duong]]="Không", 0, 1)</f>
        <v>0</v>
      </c>
      <c r="G179" s="1" t="s">
        <v>21</v>
      </c>
      <c r="H179" s="6">
        <f t="shared" si="4"/>
        <v>1</v>
      </c>
      <c r="I179" s="1" t="s">
        <v>22</v>
      </c>
      <c r="J179" s="6">
        <f>IF(Form_Responses1[[#This Row],[hoi_chung_vanh_man]]="Không", 0, 1)</f>
        <v>1</v>
      </c>
      <c r="K179" s="1" t="s">
        <v>22</v>
      </c>
      <c r="L179" s="6">
        <f>IF(Form_Responses1[[#This Row],[ckd]]="Không", 0, 1)</f>
        <v>0</v>
      </c>
      <c r="M179" s="1" t="s">
        <v>21</v>
      </c>
      <c r="N179" s="6">
        <f t="shared" si="5"/>
        <v>0</v>
      </c>
      <c r="O179" s="1" t="s">
        <v>21</v>
      </c>
      <c r="P179" s="6">
        <f>IF(Form_Responses1[[#This Row],[phan_loai_the_lam_sang]]="Suy tim mất bù cấp", 1,0)</f>
        <v>0</v>
      </c>
      <c r="Q179" s="6">
        <f>IF(Form_Responses1[[#This Row],[phan_loai_the_lam_sang]]="Phù phổi cấp", 1, 0)</f>
        <v>0</v>
      </c>
      <c r="R179" s="6">
        <f>IF(Form_Responses1[[#This Row],[phan_loai_the_lam_sang]]="Choáng tim", 1, 0)</f>
        <v>1</v>
      </c>
      <c r="S179" s="1" t="s">
        <v>28</v>
      </c>
      <c r="T179" s="6">
        <v>105</v>
      </c>
      <c r="U179" s="6">
        <v>100</v>
      </c>
      <c r="V179" s="6">
        <v>70</v>
      </c>
      <c r="W179" s="6">
        <f>IF(Form_Responses1[[#This Row],[hcvc]]="Không", 0, 1)</f>
        <v>1</v>
      </c>
      <c r="X179" s="1" t="s">
        <v>22</v>
      </c>
      <c r="Y179" s="6">
        <f>IF(Form_Responses1[[#This Row],[suy_ho_hap]]="Không", 0, 1)</f>
        <v>0</v>
      </c>
      <c r="Z179" s="1" t="s">
        <v>21</v>
      </c>
      <c r="AA179" s="6">
        <f>IF(Form_Responses1[[#This Row],[rung_nhi]]="Không", 0, 1)</f>
        <v>0</v>
      </c>
      <c r="AB179" s="1" t="s">
        <v>21</v>
      </c>
      <c r="AC179" s="6">
        <v>375</v>
      </c>
      <c r="AD179" s="6">
        <v>0.1</v>
      </c>
      <c r="AE179" s="6">
        <v>23.56</v>
      </c>
      <c r="AF179" s="6">
        <v>122</v>
      </c>
      <c r="AG179" s="6">
        <v>304</v>
      </c>
      <c r="AH179" s="6">
        <v>132</v>
      </c>
      <c r="AI179" s="6">
        <v>3.9</v>
      </c>
      <c r="AJ179" s="6">
        <v>21</v>
      </c>
      <c r="AK179" s="6">
        <v>1.04</v>
      </c>
      <c r="AL179" s="1" t="s">
        <v>21</v>
      </c>
      <c r="AM179" s="1">
        <v>9946</v>
      </c>
      <c r="AN179" s="6">
        <f>IF(Form_Responses1[[#This Row],[NT_proBNP &gt; 35000]]="Có", 35001, Form_Responses1[[#This Row],[NT_ProBNP]])</f>
        <v>9946</v>
      </c>
      <c r="AO179" s="6">
        <f>IF(Form_Responses1[[#This Row],[NT_proBNP &gt; 35000]]="Có", 1, 0)</f>
        <v>0</v>
      </c>
      <c r="AP179" s="6">
        <v>234.3</v>
      </c>
      <c r="AQ179" s="6">
        <v>435</v>
      </c>
      <c r="AR179" s="6">
        <v>227</v>
      </c>
      <c r="AS179" s="6">
        <v>511</v>
      </c>
      <c r="AU179" s="6">
        <v>42.7</v>
      </c>
      <c r="AV179" s="6">
        <v>56.7</v>
      </c>
      <c r="AW179" s="6">
        <v>30</v>
      </c>
      <c r="AX179" s="13"/>
      <c r="AY179" s="23">
        <f>IF(Form_Responses1[[#This Row],[ket_cuc]]="Không tử vong", 0, 1)</f>
        <v>0</v>
      </c>
      <c r="AZ179" s="1" t="s">
        <v>24</v>
      </c>
      <c r="BA179" s="32">
        <v>56</v>
      </c>
      <c r="BB179" s="32">
        <v>0.12572477900034063</v>
      </c>
    </row>
    <row r="180" spans="1:54" ht="13" x14ac:dyDescent="0.15">
      <c r="A180" s="2" t="s">
        <v>308</v>
      </c>
      <c r="B180" s="15">
        <v>63</v>
      </c>
      <c r="C180" s="15">
        <f>IF(Form_Responses1[[#This Row],[gioi_tinh]]="Nữ", 0, 1)</f>
        <v>1</v>
      </c>
      <c r="D180" s="2" t="s">
        <v>26</v>
      </c>
      <c r="E180" s="15">
        <v>20.8</v>
      </c>
      <c r="F180" s="15">
        <f>IF(Form_Responses1[[#This Row],[dai_thao_duong]]="Không", 0, 1)</f>
        <v>0</v>
      </c>
      <c r="G180" s="2" t="s">
        <v>21</v>
      </c>
      <c r="H180" s="15">
        <f t="shared" si="4"/>
        <v>1</v>
      </c>
      <c r="I180" s="2" t="s">
        <v>22</v>
      </c>
      <c r="J180" s="15">
        <f>IF(Form_Responses1[[#This Row],[hoi_chung_vanh_man]]="Không", 0, 1)</f>
        <v>0</v>
      </c>
      <c r="K180" s="2" t="s">
        <v>21</v>
      </c>
      <c r="L180" s="15">
        <f>IF(Form_Responses1[[#This Row],[ckd]]="Không", 0, 1)</f>
        <v>0</v>
      </c>
      <c r="M180" s="2" t="s">
        <v>21</v>
      </c>
      <c r="N180" s="15">
        <f t="shared" si="5"/>
        <v>0</v>
      </c>
      <c r="O180" s="2" t="s">
        <v>21</v>
      </c>
      <c r="P180" s="15">
        <f>IF(Form_Responses1[[#This Row],[phan_loai_the_lam_sang]]="Suy tim mất bù cấp", 1,0)</f>
        <v>0</v>
      </c>
      <c r="Q180" s="15">
        <f>IF(Form_Responses1[[#This Row],[phan_loai_the_lam_sang]]="Phù phổi cấp", 1, 0)</f>
        <v>0</v>
      </c>
      <c r="R180" s="15">
        <f>IF(Form_Responses1[[#This Row],[phan_loai_the_lam_sang]]="Choáng tim", 1, 0)</f>
        <v>1</v>
      </c>
      <c r="S180" s="2" t="s">
        <v>28</v>
      </c>
      <c r="T180" s="15">
        <v>100</v>
      </c>
      <c r="U180" s="15">
        <v>80</v>
      </c>
      <c r="V180" s="15">
        <v>50</v>
      </c>
      <c r="W180" s="15">
        <f>IF(Form_Responses1[[#This Row],[hcvc]]="Không", 0, 1)</f>
        <v>1</v>
      </c>
      <c r="X180" s="2" t="s">
        <v>22</v>
      </c>
      <c r="Y180" s="15">
        <f>IF(Form_Responses1[[#This Row],[suy_ho_hap]]="Không", 0, 1)</f>
        <v>1</v>
      </c>
      <c r="Z180" s="2" t="s">
        <v>22</v>
      </c>
      <c r="AA180" s="15">
        <f>IF(Form_Responses1[[#This Row],[rung_nhi]]="Không", 0, 1)</f>
        <v>0</v>
      </c>
      <c r="AB180" s="2" t="s">
        <v>21</v>
      </c>
      <c r="AC180" s="15">
        <v>428</v>
      </c>
      <c r="AD180" s="15">
        <v>0.08</v>
      </c>
      <c r="AE180" s="15">
        <v>13.2</v>
      </c>
      <c r="AF180" s="15">
        <v>76</v>
      </c>
      <c r="AG180" s="15">
        <v>341</v>
      </c>
      <c r="AH180" s="15">
        <v>142</v>
      </c>
      <c r="AI180" s="15">
        <v>3.9</v>
      </c>
      <c r="AJ180" s="15">
        <v>11.7</v>
      </c>
      <c r="AK180" s="15">
        <v>0.77</v>
      </c>
      <c r="AL180" s="2" t="s">
        <v>21</v>
      </c>
      <c r="AM180" s="28">
        <v>13421.5</v>
      </c>
      <c r="AN180" s="6">
        <f>IF(Form_Responses1[[#This Row],[NT_proBNP &gt; 35000]]="Có", 35001, Form_Responses1[[#This Row],[NT_ProBNP]])</f>
        <v>13421.5</v>
      </c>
      <c r="AO180" s="27">
        <f>IF(Form_Responses1[[#This Row],[NT_proBNP &gt; 35000]]="Có", 1, 0)</f>
        <v>0</v>
      </c>
      <c r="AP180" s="15">
        <v>5228.3999999999996</v>
      </c>
      <c r="AQ180" s="15">
        <v>38</v>
      </c>
      <c r="AR180" s="15">
        <v>31</v>
      </c>
      <c r="AS180" s="15">
        <v>180</v>
      </c>
      <c r="AT180" s="27">
        <v>40</v>
      </c>
      <c r="AU180" s="15">
        <v>51</v>
      </c>
      <c r="AV180" s="15">
        <v>60</v>
      </c>
      <c r="AW180" s="15">
        <v>30</v>
      </c>
      <c r="AX180" s="27">
        <v>45</v>
      </c>
      <c r="AY180" s="29">
        <f>IF(Form_Responses1[[#This Row],[ket_cuc]]="Không tử vong", 0, 1)</f>
        <v>0</v>
      </c>
      <c r="AZ180" s="2" t="s">
        <v>24</v>
      </c>
      <c r="BA180" s="32">
        <v>48</v>
      </c>
      <c r="BB180" s="32">
        <v>9.0498777481485368E-2</v>
      </c>
    </row>
    <row r="181" spans="1:54" ht="13" x14ac:dyDescent="0.15">
      <c r="A181" s="1" t="s">
        <v>33</v>
      </c>
      <c r="B181" s="6">
        <v>47</v>
      </c>
      <c r="C181" s="6">
        <f>IF(Form_Responses1[[#This Row],[gioi_tinh]]="Nữ", 0, 1)</f>
        <v>1</v>
      </c>
      <c r="D181" s="1" t="s">
        <v>26</v>
      </c>
      <c r="E181" s="6">
        <v>23.88</v>
      </c>
      <c r="F181" s="6">
        <f>IF(Form_Responses1[[#This Row],[dai_thao_duong]]="Không", 0, 1)</f>
        <v>0</v>
      </c>
      <c r="G181" s="1" t="s">
        <v>21</v>
      </c>
      <c r="H181" s="6">
        <f t="shared" si="4"/>
        <v>0</v>
      </c>
      <c r="I181" s="1" t="s">
        <v>21</v>
      </c>
      <c r="J181" s="6">
        <f>IF(Form_Responses1[[#This Row],[hoi_chung_vanh_man]]="Không", 0, 1)</f>
        <v>0</v>
      </c>
      <c r="K181" s="1" t="s">
        <v>21</v>
      </c>
      <c r="L181" s="6">
        <f>IF(Form_Responses1[[#This Row],[ckd]]="Không", 0, 1)</f>
        <v>0</v>
      </c>
      <c r="M181" s="1" t="s">
        <v>21</v>
      </c>
      <c r="N181" s="6">
        <f t="shared" si="5"/>
        <v>0</v>
      </c>
      <c r="O181" s="1" t="s">
        <v>21</v>
      </c>
      <c r="P181" s="6">
        <f>IF(Form_Responses1[[#This Row],[phan_loai_the_lam_sang]]="Suy tim mất bù cấp", 1,0)</f>
        <v>0</v>
      </c>
      <c r="Q181" s="6">
        <f>IF(Form_Responses1[[#This Row],[phan_loai_the_lam_sang]]="Phù phổi cấp", 1, 0)</f>
        <v>0</v>
      </c>
      <c r="R181" s="6">
        <f>IF(Form_Responses1[[#This Row],[phan_loai_the_lam_sang]]="Choáng tim", 1, 0)</f>
        <v>1</v>
      </c>
      <c r="S181" s="1" t="s">
        <v>28</v>
      </c>
      <c r="T181" s="6">
        <v>60</v>
      </c>
      <c r="U181" s="6">
        <v>70</v>
      </c>
      <c r="V181" s="6">
        <v>40</v>
      </c>
      <c r="W181" s="6">
        <f>IF(Form_Responses1[[#This Row],[hcvc]]="Không", 0, 1)</f>
        <v>0</v>
      </c>
      <c r="X181" s="1" t="s">
        <v>21</v>
      </c>
      <c r="Y181" s="6">
        <f>IF(Form_Responses1[[#This Row],[suy_ho_hap]]="Không", 0, 1)</f>
        <v>1</v>
      </c>
      <c r="Z181" s="1" t="s">
        <v>22</v>
      </c>
      <c r="AA181" s="6">
        <f>IF(Form_Responses1[[#This Row],[rung_nhi]]="Không", 0, 1)</f>
        <v>0</v>
      </c>
      <c r="AB181" s="1" t="s">
        <v>21</v>
      </c>
      <c r="AC181" s="6">
        <v>440</v>
      </c>
      <c r="AD181" s="6">
        <v>0.12</v>
      </c>
      <c r="AE181" s="6">
        <v>8.7200000000000006</v>
      </c>
      <c r="AF181" s="6">
        <v>145</v>
      </c>
      <c r="AG181" s="6">
        <v>229</v>
      </c>
      <c r="AH181" s="6">
        <v>132</v>
      </c>
      <c r="AI181" s="6">
        <v>4.3</v>
      </c>
      <c r="AJ181" s="6">
        <v>31</v>
      </c>
      <c r="AK181" s="6">
        <v>1.38</v>
      </c>
      <c r="AL181" s="1" t="s">
        <v>21</v>
      </c>
      <c r="AM181" s="1">
        <v>12721.7</v>
      </c>
      <c r="AN181" s="6">
        <f>IF(Form_Responses1[[#This Row],[NT_proBNP &gt; 35000]]="Có", 35001, Form_Responses1[[#This Row],[NT_ProBNP]])</f>
        <v>12721.7</v>
      </c>
      <c r="AO181" s="6">
        <f>IF(Form_Responses1[[#This Row],[NT_proBNP &gt; 35000]]="Có", 1, 0)</f>
        <v>0</v>
      </c>
      <c r="AP181" s="6">
        <v>95624</v>
      </c>
      <c r="AQ181" s="6">
        <v>182</v>
      </c>
      <c r="AR181" s="6">
        <v>110</v>
      </c>
      <c r="AS181" s="6">
        <v>236</v>
      </c>
      <c r="AT181" s="27">
        <v>40</v>
      </c>
      <c r="AU181" s="6">
        <v>50</v>
      </c>
      <c r="AV181" s="6">
        <v>60</v>
      </c>
      <c r="AW181" s="6">
        <v>30</v>
      </c>
      <c r="AX181" s="13"/>
      <c r="AY181" s="23">
        <f>IF(Form_Responses1[[#This Row],[ket_cuc]]="Không tử vong", 0, 1)</f>
        <v>0</v>
      </c>
      <c r="AZ181" s="1" t="s">
        <v>24</v>
      </c>
      <c r="BA181" s="32">
        <v>44</v>
      </c>
      <c r="BB181" s="32">
        <v>6.3494625278072092E-2</v>
      </c>
    </row>
    <row r="182" spans="1:54" ht="13" x14ac:dyDescent="0.15">
      <c r="A182" s="2" t="s">
        <v>318</v>
      </c>
      <c r="B182" s="15">
        <v>63</v>
      </c>
      <c r="C182" s="15">
        <f>IF(Form_Responses1[[#This Row],[gioi_tinh]]="Nữ", 0, 1)</f>
        <v>1</v>
      </c>
      <c r="D182" s="2" t="s">
        <v>26</v>
      </c>
      <c r="E182" s="15">
        <v>23</v>
      </c>
      <c r="F182" s="15">
        <f>IF(Form_Responses1[[#This Row],[dai_thao_duong]]="Không", 0, 1)</f>
        <v>0</v>
      </c>
      <c r="G182" s="2" t="s">
        <v>21</v>
      </c>
      <c r="H182" s="15">
        <f t="shared" si="4"/>
        <v>0</v>
      </c>
      <c r="I182" s="2" t="s">
        <v>21</v>
      </c>
      <c r="J182" s="15">
        <f>IF(Form_Responses1[[#This Row],[hoi_chung_vanh_man]]="Không", 0, 1)</f>
        <v>0</v>
      </c>
      <c r="K182" s="2" t="s">
        <v>21</v>
      </c>
      <c r="L182" s="15">
        <f>IF(Form_Responses1[[#This Row],[ckd]]="Không", 0, 1)</f>
        <v>0</v>
      </c>
      <c r="M182" s="2" t="s">
        <v>21</v>
      </c>
      <c r="N182" s="15">
        <f t="shared" si="5"/>
        <v>0</v>
      </c>
      <c r="O182" s="2" t="s">
        <v>21</v>
      </c>
      <c r="P182" s="15">
        <f>IF(Form_Responses1[[#This Row],[phan_loai_the_lam_sang]]="Suy tim mất bù cấp", 1,0)</f>
        <v>1</v>
      </c>
      <c r="Q182" s="15">
        <f>IF(Form_Responses1[[#This Row],[phan_loai_the_lam_sang]]="Phù phổi cấp", 1, 0)</f>
        <v>0</v>
      </c>
      <c r="R182" s="15">
        <f>IF(Form_Responses1[[#This Row],[phan_loai_the_lam_sang]]="Choáng tim", 1, 0)</f>
        <v>0</v>
      </c>
      <c r="S182" s="2" t="s">
        <v>23</v>
      </c>
      <c r="T182" s="15">
        <v>110</v>
      </c>
      <c r="U182" s="15">
        <v>140</v>
      </c>
      <c r="V182" s="15">
        <v>100</v>
      </c>
      <c r="W182" s="15">
        <f>IF(Form_Responses1[[#This Row],[hcvc]]="Không", 0, 1)</f>
        <v>0</v>
      </c>
      <c r="X182" s="2" t="s">
        <v>21</v>
      </c>
      <c r="Y182" s="15">
        <f>IF(Form_Responses1[[#This Row],[suy_ho_hap]]="Không", 0, 1)</f>
        <v>0</v>
      </c>
      <c r="Z182" s="2" t="s">
        <v>21</v>
      </c>
      <c r="AA182" s="15">
        <f>IF(Form_Responses1[[#This Row],[rung_nhi]]="Không", 0, 1)</f>
        <v>0</v>
      </c>
      <c r="AB182" s="2" t="s">
        <v>21</v>
      </c>
      <c r="AC182" s="15">
        <v>444</v>
      </c>
      <c r="AD182" s="15">
        <v>7.0000000000000007E-2</v>
      </c>
      <c r="AE182" s="15">
        <v>7.46</v>
      </c>
      <c r="AF182" s="15">
        <v>140</v>
      </c>
      <c r="AG182" s="15">
        <v>213</v>
      </c>
      <c r="AH182" s="15">
        <v>137</v>
      </c>
      <c r="AI182" s="15">
        <v>3.8</v>
      </c>
      <c r="AJ182" s="15">
        <v>14</v>
      </c>
      <c r="AK182" s="15">
        <v>1.01</v>
      </c>
      <c r="AL182" s="2" t="s">
        <v>21</v>
      </c>
      <c r="AM182" s="28">
        <v>16167</v>
      </c>
      <c r="AN182" s="6">
        <f>IF(Form_Responses1[[#This Row],[NT_proBNP &gt; 35000]]="Có", 35001, Form_Responses1[[#This Row],[NT_ProBNP]])</f>
        <v>16167</v>
      </c>
      <c r="AO182" s="27">
        <f>IF(Form_Responses1[[#This Row],[NT_proBNP &gt; 35000]]="Có", 1, 0)</f>
        <v>0</v>
      </c>
      <c r="AP182" s="15">
        <v>30.52</v>
      </c>
      <c r="AQ182" s="15">
        <v>55</v>
      </c>
      <c r="AR182" s="15">
        <v>90</v>
      </c>
      <c r="AS182" s="15">
        <v>105</v>
      </c>
      <c r="AT182" s="15">
        <v>44</v>
      </c>
      <c r="AU182" s="15">
        <v>53</v>
      </c>
      <c r="AV182" s="15">
        <v>61</v>
      </c>
      <c r="AW182" s="15">
        <v>29</v>
      </c>
      <c r="AX182" s="15">
        <v>50</v>
      </c>
      <c r="AY182" s="22">
        <f>IF(Form_Responses1[[#This Row],[ket_cuc]]="Không tử vong", 0, 1)</f>
        <v>0</v>
      </c>
      <c r="AZ182" s="2" t="s">
        <v>24</v>
      </c>
      <c r="BA182" s="32">
        <v>39</v>
      </c>
      <c r="BB182" s="32">
        <v>4.3613307485597899E-2</v>
      </c>
    </row>
    <row r="183" spans="1:54" ht="13" x14ac:dyDescent="0.15">
      <c r="A183" s="1" t="s">
        <v>317</v>
      </c>
      <c r="B183" s="6">
        <v>66</v>
      </c>
      <c r="C183" s="6">
        <f>IF(Form_Responses1[[#This Row],[gioi_tinh]]="Nữ", 0, 1)</f>
        <v>0</v>
      </c>
      <c r="D183" s="1" t="s">
        <v>20</v>
      </c>
      <c r="E183" s="6">
        <v>22.8</v>
      </c>
      <c r="F183" s="6">
        <f>IF(Form_Responses1[[#This Row],[dai_thao_duong]]="Không", 0, 1)</f>
        <v>1</v>
      </c>
      <c r="G183" s="1" t="s">
        <v>22</v>
      </c>
      <c r="H183" s="6">
        <f t="shared" si="4"/>
        <v>0</v>
      </c>
      <c r="I183" s="1" t="s">
        <v>21</v>
      </c>
      <c r="J183" s="6">
        <f>IF(Form_Responses1[[#This Row],[hoi_chung_vanh_man]]="Không", 0, 1)</f>
        <v>1</v>
      </c>
      <c r="K183" s="1" t="s">
        <v>22</v>
      </c>
      <c r="L183" s="6">
        <f>IF(Form_Responses1[[#This Row],[ckd]]="Không", 0, 1)</f>
        <v>0</v>
      </c>
      <c r="M183" s="1" t="s">
        <v>21</v>
      </c>
      <c r="N183" s="6">
        <f t="shared" si="5"/>
        <v>0</v>
      </c>
      <c r="O183" s="1" t="s">
        <v>21</v>
      </c>
      <c r="P183" s="6">
        <f>IF(Form_Responses1[[#This Row],[phan_loai_the_lam_sang]]="Suy tim mất bù cấp", 1,0)</f>
        <v>1</v>
      </c>
      <c r="Q183" s="6">
        <f>IF(Form_Responses1[[#This Row],[phan_loai_the_lam_sang]]="Phù phổi cấp", 1, 0)</f>
        <v>0</v>
      </c>
      <c r="R183" s="6">
        <f>IF(Form_Responses1[[#This Row],[phan_loai_the_lam_sang]]="Choáng tim", 1, 0)</f>
        <v>0</v>
      </c>
      <c r="S183" s="1" t="s">
        <v>23</v>
      </c>
      <c r="T183" s="6">
        <v>104</v>
      </c>
      <c r="U183" s="6">
        <v>130</v>
      </c>
      <c r="V183" s="6">
        <v>100</v>
      </c>
      <c r="W183" s="6">
        <f>IF(Form_Responses1[[#This Row],[hcvc]]="Không", 0, 1)</f>
        <v>0</v>
      </c>
      <c r="X183" s="1" t="s">
        <v>21</v>
      </c>
      <c r="Y183" s="6">
        <f>IF(Form_Responses1[[#This Row],[suy_ho_hap]]="Không", 0, 1)</f>
        <v>0</v>
      </c>
      <c r="Z183" s="1" t="s">
        <v>21</v>
      </c>
      <c r="AA183" s="6">
        <f>IF(Form_Responses1[[#This Row],[rung_nhi]]="Không", 0, 1)</f>
        <v>1</v>
      </c>
      <c r="AB183" s="1" t="s">
        <v>22</v>
      </c>
      <c r="AC183" s="6">
        <v>362</v>
      </c>
      <c r="AD183" s="6">
        <v>0.08</v>
      </c>
      <c r="AE183" s="6">
        <v>13.33</v>
      </c>
      <c r="AF183" s="6">
        <v>134</v>
      </c>
      <c r="AG183" s="6">
        <v>301</v>
      </c>
      <c r="AH183" s="6">
        <v>133</v>
      </c>
      <c r="AI183" s="6">
        <v>3.2</v>
      </c>
      <c r="AJ183" s="6">
        <v>15.9</v>
      </c>
      <c r="AK183" s="6">
        <v>0.59</v>
      </c>
      <c r="AL183" s="1" t="s">
        <v>21</v>
      </c>
      <c r="AM183" s="1">
        <v>18530.849999999999</v>
      </c>
      <c r="AN183" s="6">
        <f>IF(Form_Responses1[[#This Row],[NT_proBNP &gt; 35000]]="Có", 35001, Form_Responses1[[#This Row],[NT_ProBNP]])</f>
        <v>18530.849999999999</v>
      </c>
      <c r="AO183" s="6">
        <f>IF(Form_Responses1[[#This Row],[NT_proBNP &gt; 35000]]="Có", 1, 0)</f>
        <v>0</v>
      </c>
      <c r="AP183" s="6">
        <v>31.74</v>
      </c>
      <c r="AQ183" s="6">
        <v>66</v>
      </c>
      <c r="AR183" s="6">
        <v>76</v>
      </c>
      <c r="AS183" s="6">
        <v>185</v>
      </c>
      <c r="AT183" s="6">
        <v>37</v>
      </c>
      <c r="AU183" s="6">
        <v>47</v>
      </c>
      <c r="AV183" s="6">
        <v>61</v>
      </c>
      <c r="AW183" s="6">
        <v>29</v>
      </c>
      <c r="AX183" s="6">
        <v>12</v>
      </c>
      <c r="AY183" s="24">
        <f>IF(Form_Responses1[[#This Row],[ket_cuc]]="Không tử vong", 0, 1)</f>
        <v>0</v>
      </c>
      <c r="AZ183" s="1" t="s">
        <v>24</v>
      </c>
      <c r="BA183" s="32">
        <v>41</v>
      </c>
      <c r="BB183" s="32">
        <v>4.5663371136053697E-2</v>
      </c>
    </row>
    <row r="184" spans="1:54" ht="13" x14ac:dyDescent="0.15">
      <c r="A184" s="2" t="s">
        <v>39</v>
      </c>
      <c r="B184" s="15">
        <v>80</v>
      </c>
      <c r="C184" s="15">
        <f>IF(Form_Responses1[[#This Row],[gioi_tinh]]="Nữ", 0, 1)</f>
        <v>0</v>
      </c>
      <c r="D184" s="2" t="s">
        <v>20</v>
      </c>
      <c r="E184" s="15">
        <v>17.8</v>
      </c>
      <c r="F184" s="15">
        <f>IF(Form_Responses1[[#This Row],[dai_thao_duong]]="Không", 0, 1)</f>
        <v>0</v>
      </c>
      <c r="G184" s="2" t="s">
        <v>21</v>
      </c>
      <c r="H184" s="15">
        <f t="shared" si="4"/>
        <v>0</v>
      </c>
      <c r="I184" s="2" t="s">
        <v>21</v>
      </c>
      <c r="J184" s="15">
        <f>IF(Form_Responses1[[#This Row],[hoi_chung_vanh_man]]="Không", 0, 1)</f>
        <v>0</v>
      </c>
      <c r="K184" s="2" t="s">
        <v>21</v>
      </c>
      <c r="L184" s="15">
        <f>IF(Form_Responses1[[#This Row],[ckd]]="Không", 0, 1)</f>
        <v>0</v>
      </c>
      <c r="M184" s="2" t="s">
        <v>21</v>
      </c>
      <c r="N184" s="15">
        <f t="shared" si="5"/>
        <v>0</v>
      </c>
      <c r="O184" s="2" t="s">
        <v>21</v>
      </c>
      <c r="P184" s="15">
        <f>IF(Form_Responses1[[#This Row],[phan_loai_the_lam_sang]]="Suy tim mất bù cấp", 1,0)</f>
        <v>1</v>
      </c>
      <c r="Q184" s="15">
        <f>IF(Form_Responses1[[#This Row],[phan_loai_the_lam_sang]]="Phù phổi cấp", 1, 0)</f>
        <v>0</v>
      </c>
      <c r="R184" s="15">
        <f>IF(Form_Responses1[[#This Row],[phan_loai_the_lam_sang]]="Choáng tim", 1, 0)</f>
        <v>0</v>
      </c>
      <c r="S184" s="2" t="s">
        <v>23</v>
      </c>
      <c r="T184" s="15">
        <v>68</v>
      </c>
      <c r="U184" s="15">
        <v>110</v>
      </c>
      <c r="V184" s="15">
        <v>60</v>
      </c>
      <c r="W184" s="15">
        <f>IF(Form_Responses1[[#This Row],[hcvc]]="Không", 0, 1)</f>
        <v>0</v>
      </c>
      <c r="X184" s="2" t="s">
        <v>21</v>
      </c>
      <c r="Y184" s="15">
        <f>IF(Form_Responses1[[#This Row],[suy_ho_hap]]="Không", 0, 1)</f>
        <v>0</v>
      </c>
      <c r="Z184" s="2" t="s">
        <v>21</v>
      </c>
      <c r="AA184" s="15">
        <f>IF(Form_Responses1[[#This Row],[rung_nhi]]="Không", 0, 1)</f>
        <v>0</v>
      </c>
      <c r="AB184" s="2" t="s">
        <v>21</v>
      </c>
      <c r="AC184" s="15">
        <v>402</v>
      </c>
      <c r="AD184" s="15">
        <v>0.08</v>
      </c>
      <c r="AE184" s="15">
        <v>3.3</v>
      </c>
      <c r="AF184" s="15">
        <v>135</v>
      </c>
      <c r="AG184" s="15">
        <v>103</v>
      </c>
      <c r="AH184" s="15">
        <v>134</v>
      </c>
      <c r="AI184" s="15">
        <v>3.4</v>
      </c>
      <c r="AJ184" s="15">
        <v>14</v>
      </c>
      <c r="AK184" s="15">
        <v>0.93</v>
      </c>
      <c r="AL184" s="2" t="s">
        <v>21</v>
      </c>
      <c r="AM184" s="2">
        <v>2168</v>
      </c>
      <c r="AN184" s="6">
        <f>IF(Form_Responses1[[#This Row],[NT_proBNP &gt; 35000]]="Có", 35001, Form_Responses1[[#This Row],[NT_ProBNP]])</f>
        <v>2168</v>
      </c>
      <c r="AO184" s="15">
        <f>IF(Form_Responses1[[#This Row],[NT_proBNP &gt; 35000]]="Có", 1, 0)</f>
        <v>0</v>
      </c>
      <c r="AP184" s="15">
        <v>132.11000000000001</v>
      </c>
      <c r="AQ184" s="15">
        <v>78</v>
      </c>
      <c r="AR184" s="15">
        <v>44</v>
      </c>
      <c r="AS184" s="18"/>
      <c r="AT184" s="18"/>
      <c r="AU184" s="15">
        <v>37.299999999999997</v>
      </c>
      <c r="AV184" s="15">
        <v>41.3</v>
      </c>
      <c r="AW184" s="15">
        <v>29</v>
      </c>
      <c r="AX184" s="15">
        <v>32</v>
      </c>
      <c r="AY184" s="22">
        <f>IF(Form_Responses1[[#This Row],[ket_cuc]]="Không tử vong", 0, 1)</f>
        <v>0</v>
      </c>
      <c r="AZ184" s="2" t="s">
        <v>24</v>
      </c>
      <c r="BA184" s="32">
        <v>43</v>
      </c>
      <c r="BB184" s="32">
        <v>8.467955700787351E-2</v>
      </c>
    </row>
    <row r="185" spans="1:54" ht="13" x14ac:dyDescent="0.15">
      <c r="A185" s="1" t="s">
        <v>117</v>
      </c>
      <c r="B185" s="6">
        <v>93</v>
      </c>
      <c r="C185" s="6">
        <f>IF(Form_Responses1[[#This Row],[gioi_tinh]]="Nữ", 0, 1)</f>
        <v>0</v>
      </c>
      <c r="D185" s="1" t="s">
        <v>20</v>
      </c>
      <c r="E185" s="6">
        <v>24.4</v>
      </c>
      <c r="F185" s="6">
        <f>IF(Form_Responses1[[#This Row],[dai_thao_duong]]="Không", 0, 1)</f>
        <v>0</v>
      </c>
      <c r="G185" s="1" t="s">
        <v>21</v>
      </c>
      <c r="H185" s="6">
        <f t="shared" si="4"/>
        <v>1</v>
      </c>
      <c r="I185" s="1" t="s">
        <v>22</v>
      </c>
      <c r="J185" s="6">
        <f>IF(Form_Responses1[[#This Row],[hoi_chung_vanh_man]]="Không", 0, 1)</f>
        <v>0</v>
      </c>
      <c r="K185" s="1" t="s">
        <v>21</v>
      </c>
      <c r="L185" s="6">
        <f>IF(Form_Responses1[[#This Row],[ckd]]="Không", 0, 1)</f>
        <v>0</v>
      </c>
      <c r="M185" s="1" t="s">
        <v>21</v>
      </c>
      <c r="N185" s="6">
        <f t="shared" si="5"/>
        <v>0</v>
      </c>
      <c r="O185" s="1" t="s">
        <v>21</v>
      </c>
      <c r="P185" s="6">
        <f>IF(Form_Responses1[[#This Row],[phan_loai_the_lam_sang]]="Suy tim mất bù cấp", 1,0)</f>
        <v>1</v>
      </c>
      <c r="Q185" s="6">
        <f>IF(Form_Responses1[[#This Row],[phan_loai_the_lam_sang]]="Phù phổi cấp", 1, 0)</f>
        <v>0</v>
      </c>
      <c r="R185" s="6">
        <f>IF(Form_Responses1[[#This Row],[phan_loai_the_lam_sang]]="Choáng tim", 1, 0)</f>
        <v>0</v>
      </c>
      <c r="S185" s="1" t="s">
        <v>23</v>
      </c>
      <c r="T185" s="6">
        <v>90</v>
      </c>
      <c r="U185" s="6">
        <v>130</v>
      </c>
      <c r="V185" s="6">
        <v>80</v>
      </c>
      <c r="W185" s="6">
        <f>IF(Form_Responses1[[#This Row],[hcvc]]="Không", 0, 1)</f>
        <v>0</v>
      </c>
      <c r="X185" s="1" t="s">
        <v>21</v>
      </c>
      <c r="Y185" s="6">
        <f>IF(Form_Responses1[[#This Row],[suy_ho_hap]]="Không", 0, 1)</f>
        <v>0</v>
      </c>
      <c r="Z185" s="1" t="s">
        <v>21</v>
      </c>
      <c r="AA185" s="6">
        <f>IF(Form_Responses1[[#This Row],[rung_nhi]]="Không", 0, 1)</f>
        <v>0</v>
      </c>
      <c r="AB185" s="1" t="s">
        <v>21</v>
      </c>
      <c r="AC185" s="6">
        <v>485</v>
      </c>
      <c r="AD185" s="6">
        <v>0.1</v>
      </c>
      <c r="AE185" s="6">
        <v>10.19</v>
      </c>
      <c r="AF185" s="6">
        <v>121</v>
      </c>
      <c r="AG185" s="6">
        <v>310</v>
      </c>
      <c r="AH185" s="6">
        <v>133</v>
      </c>
      <c r="AI185" s="6">
        <v>3.4</v>
      </c>
      <c r="AJ185" s="6">
        <v>23</v>
      </c>
      <c r="AK185" s="6">
        <v>0.95</v>
      </c>
      <c r="AL185" s="1" t="s">
        <v>21</v>
      </c>
      <c r="AM185" s="1">
        <v>3214.1</v>
      </c>
      <c r="AN185" s="6">
        <f>IF(Form_Responses1[[#This Row],[NT_proBNP &gt; 35000]]="Có", 35001, Form_Responses1[[#This Row],[NT_ProBNP]])</f>
        <v>3214.1</v>
      </c>
      <c r="AO185" s="6">
        <f>IF(Form_Responses1[[#This Row],[NT_proBNP &gt; 35000]]="Có", 1, 0)</f>
        <v>0</v>
      </c>
      <c r="AP185" s="6">
        <v>163.80000000000001</v>
      </c>
      <c r="AQ185" s="6">
        <v>26</v>
      </c>
      <c r="AR185" s="6">
        <v>17</v>
      </c>
      <c r="AS185" s="6">
        <v>120</v>
      </c>
      <c r="AT185" s="6">
        <v>32</v>
      </c>
      <c r="AU185" s="6">
        <v>39</v>
      </c>
      <c r="AV185" s="6">
        <v>50</v>
      </c>
      <c r="AW185" s="6">
        <v>29</v>
      </c>
      <c r="AX185" s="13"/>
      <c r="AY185" s="23">
        <f>IF(Form_Responses1[[#This Row],[ket_cuc]]="Không tử vong", 0, 1)</f>
        <v>0</v>
      </c>
      <c r="AZ185" s="1" t="s">
        <v>24</v>
      </c>
      <c r="BA185" s="32">
        <v>49</v>
      </c>
      <c r="BB185" s="32">
        <v>0.12886854903027484</v>
      </c>
    </row>
    <row r="186" spans="1:54" ht="13" x14ac:dyDescent="0.15">
      <c r="A186" s="2" t="s">
        <v>55</v>
      </c>
      <c r="B186" s="15">
        <v>72</v>
      </c>
      <c r="C186" s="15">
        <f>IF(Form_Responses1[[#This Row],[gioi_tinh]]="Nữ", 0, 1)</f>
        <v>1</v>
      </c>
      <c r="D186" s="2" t="s">
        <v>26</v>
      </c>
      <c r="E186" s="15">
        <v>25.4</v>
      </c>
      <c r="F186" s="15">
        <f>IF(Form_Responses1[[#This Row],[dai_thao_duong]]="Không", 0, 1)</f>
        <v>1</v>
      </c>
      <c r="G186" s="2" t="s">
        <v>22</v>
      </c>
      <c r="H186" s="15">
        <f t="shared" si="4"/>
        <v>1</v>
      </c>
      <c r="I186" s="2" t="s">
        <v>22</v>
      </c>
      <c r="J186" s="15">
        <f>IF(Form_Responses1[[#This Row],[hoi_chung_vanh_man]]="Không", 0, 1)</f>
        <v>1</v>
      </c>
      <c r="K186" s="2" t="s">
        <v>22</v>
      </c>
      <c r="L186" s="15">
        <f>IF(Form_Responses1[[#This Row],[ckd]]="Không", 0, 1)</f>
        <v>0</v>
      </c>
      <c r="M186" s="2" t="s">
        <v>21</v>
      </c>
      <c r="N186" s="15">
        <f t="shared" si="5"/>
        <v>0</v>
      </c>
      <c r="O186" s="2" t="s">
        <v>21</v>
      </c>
      <c r="P186" s="15">
        <f>IF(Form_Responses1[[#This Row],[phan_loai_the_lam_sang]]="Suy tim mất bù cấp", 1,0)</f>
        <v>1</v>
      </c>
      <c r="Q186" s="15">
        <f>IF(Form_Responses1[[#This Row],[phan_loai_the_lam_sang]]="Phù phổi cấp", 1, 0)</f>
        <v>0</v>
      </c>
      <c r="R186" s="15">
        <f>IF(Form_Responses1[[#This Row],[phan_loai_the_lam_sang]]="Choáng tim", 1, 0)</f>
        <v>0</v>
      </c>
      <c r="S186" s="2" t="s">
        <v>23</v>
      </c>
      <c r="T186" s="15">
        <v>110</v>
      </c>
      <c r="U186" s="15">
        <v>100</v>
      </c>
      <c r="V186" s="15">
        <v>60</v>
      </c>
      <c r="W186" s="15">
        <f>IF(Form_Responses1[[#This Row],[hcvc]]="Không", 0, 1)</f>
        <v>0</v>
      </c>
      <c r="X186" s="2" t="s">
        <v>21</v>
      </c>
      <c r="Y186" s="15">
        <f>IF(Form_Responses1[[#This Row],[suy_ho_hap]]="Không", 0, 1)</f>
        <v>0</v>
      </c>
      <c r="Z186" s="2" t="s">
        <v>21</v>
      </c>
      <c r="AA186" s="15">
        <f>IF(Form_Responses1[[#This Row],[rung_nhi]]="Không", 0, 1)</f>
        <v>0</v>
      </c>
      <c r="AB186" s="2" t="s">
        <v>21</v>
      </c>
      <c r="AC186" s="15">
        <v>413</v>
      </c>
      <c r="AD186" s="15">
        <v>0.08</v>
      </c>
      <c r="AE186" s="15">
        <v>13.21</v>
      </c>
      <c r="AF186" s="15">
        <v>111</v>
      </c>
      <c r="AG186" s="15">
        <v>192</v>
      </c>
      <c r="AH186" s="15">
        <v>127</v>
      </c>
      <c r="AI186" s="15">
        <v>4.3</v>
      </c>
      <c r="AJ186" s="15">
        <v>33</v>
      </c>
      <c r="AK186" s="15">
        <v>1.78</v>
      </c>
      <c r="AL186" s="2" t="s">
        <v>21</v>
      </c>
      <c r="AM186" s="28">
        <v>3978.85</v>
      </c>
      <c r="AN186" s="6">
        <f>IF(Form_Responses1[[#This Row],[NT_proBNP &gt; 35000]]="Có", 35001, Form_Responses1[[#This Row],[NT_ProBNP]])</f>
        <v>3978.85</v>
      </c>
      <c r="AO186" s="27">
        <f>IF(Form_Responses1[[#This Row],[NT_proBNP &gt; 35000]]="Có", 1, 0)</f>
        <v>0</v>
      </c>
      <c r="AP186" s="15">
        <v>510.86</v>
      </c>
      <c r="AQ186" s="15">
        <v>25</v>
      </c>
      <c r="AR186" s="15">
        <v>21</v>
      </c>
      <c r="AS186" s="15">
        <v>149</v>
      </c>
      <c r="AT186" s="15">
        <v>40</v>
      </c>
      <c r="AU186" s="15">
        <v>58</v>
      </c>
      <c r="AV186" s="15">
        <v>71</v>
      </c>
      <c r="AW186" s="15">
        <v>29</v>
      </c>
      <c r="AX186" s="18"/>
      <c r="AY186" s="26">
        <f>IF(Form_Responses1[[#This Row],[ket_cuc]]="Không tử vong", 0, 1)</f>
        <v>0</v>
      </c>
      <c r="AZ186" s="2" t="s">
        <v>24</v>
      </c>
      <c r="BA186" s="32">
        <v>57</v>
      </c>
      <c r="BB186" s="32">
        <v>0.16005754186962762</v>
      </c>
    </row>
    <row r="187" spans="1:54" ht="13" x14ac:dyDescent="0.15">
      <c r="A187" s="1" t="s">
        <v>340</v>
      </c>
      <c r="B187" s="6">
        <v>81</v>
      </c>
      <c r="C187" s="6">
        <f>IF(Form_Responses1[[#This Row],[gioi_tinh]]="Nữ", 0, 1)</f>
        <v>0</v>
      </c>
      <c r="D187" s="1" t="s">
        <v>20</v>
      </c>
      <c r="E187" s="6">
        <v>19.5</v>
      </c>
      <c r="F187" s="6">
        <f>IF(Form_Responses1[[#This Row],[dai_thao_duong]]="Không", 0, 1)</f>
        <v>1</v>
      </c>
      <c r="G187" s="1" t="s">
        <v>22</v>
      </c>
      <c r="H187" s="6">
        <f t="shared" si="4"/>
        <v>1</v>
      </c>
      <c r="I187" s="1" t="s">
        <v>22</v>
      </c>
      <c r="J187" s="6">
        <f>IF(Form_Responses1[[#This Row],[hoi_chung_vanh_man]]="Không", 0, 1)</f>
        <v>0</v>
      </c>
      <c r="K187" s="1" t="s">
        <v>21</v>
      </c>
      <c r="L187" s="6">
        <f>IF(Form_Responses1[[#This Row],[ckd]]="Không", 0, 1)</f>
        <v>0</v>
      </c>
      <c r="M187" s="1" t="s">
        <v>21</v>
      </c>
      <c r="N187" s="6">
        <f t="shared" si="5"/>
        <v>0</v>
      </c>
      <c r="O187" s="1" t="s">
        <v>21</v>
      </c>
      <c r="P187" s="6">
        <f>IF(Form_Responses1[[#This Row],[phan_loai_the_lam_sang]]="Suy tim mất bù cấp", 1,0)</f>
        <v>0</v>
      </c>
      <c r="Q187" s="6">
        <f>IF(Form_Responses1[[#This Row],[phan_loai_the_lam_sang]]="Phù phổi cấp", 1, 0)</f>
        <v>1</v>
      </c>
      <c r="R187" s="6">
        <f>IF(Form_Responses1[[#This Row],[phan_loai_the_lam_sang]]="Choáng tim", 1, 0)</f>
        <v>0</v>
      </c>
      <c r="S187" s="1" t="s">
        <v>45</v>
      </c>
      <c r="T187" s="6">
        <v>110</v>
      </c>
      <c r="U187" s="6">
        <v>120</v>
      </c>
      <c r="V187" s="6">
        <v>80</v>
      </c>
      <c r="W187" s="6">
        <f>IF(Form_Responses1[[#This Row],[hcvc]]="Không", 0, 1)</f>
        <v>1</v>
      </c>
      <c r="X187" s="1" t="s">
        <v>22</v>
      </c>
      <c r="Y187" s="6">
        <f>IF(Form_Responses1[[#This Row],[suy_ho_hap]]="Không", 0, 1)</f>
        <v>1</v>
      </c>
      <c r="Z187" s="1" t="s">
        <v>22</v>
      </c>
      <c r="AA187" s="6">
        <f>IF(Form_Responses1[[#This Row],[rung_nhi]]="Không", 0, 1)</f>
        <v>0</v>
      </c>
      <c r="AB187" s="1" t="s">
        <v>21</v>
      </c>
      <c r="AC187" s="6">
        <v>428</v>
      </c>
      <c r="AD187" s="6">
        <v>7.0000000000000007E-2</v>
      </c>
      <c r="AE187" s="6">
        <v>9.5</v>
      </c>
      <c r="AF187" s="6">
        <v>124</v>
      </c>
      <c r="AG187" s="6">
        <v>126</v>
      </c>
      <c r="AH187" s="6">
        <v>134</v>
      </c>
      <c r="AI187" s="6">
        <v>4.5999999999999996</v>
      </c>
      <c r="AJ187" s="6">
        <v>48</v>
      </c>
      <c r="AK187" s="6">
        <v>0.81</v>
      </c>
      <c r="AL187" s="1" t="s">
        <v>21</v>
      </c>
      <c r="AM187" s="1">
        <v>18003</v>
      </c>
      <c r="AN187" s="6">
        <f>IF(Form_Responses1[[#This Row],[NT_proBNP &gt; 35000]]="Có", 35001, Form_Responses1[[#This Row],[NT_ProBNP]])</f>
        <v>18003</v>
      </c>
      <c r="AO187" s="6">
        <f>IF(Form_Responses1[[#This Row],[NT_proBNP &gt; 35000]]="Có", 1, 0)</f>
        <v>0</v>
      </c>
      <c r="AP187" s="6">
        <v>18466.259999999998</v>
      </c>
      <c r="AQ187" s="6">
        <v>365</v>
      </c>
      <c r="AR187" s="6">
        <v>965</v>
      </c>
      <c r="AS187" s="6">
        <v>354</v>
      </c>
      <c r="AT187" s="6">
        <v>32</v>
      </c>
      <c r="AU187" s="6">
        <v>37.4</v>
      </c>
      <c r="AV187" s="6">
        <v>44.3</v>
      </c>
      <c r="AW187" s="6">
        <v>29</v>
      </c>
      <c r="AX187" s="27">
        <v>34</v>
      </c>
      <c r="AY187" s="29">
        <f>IF(Form_Responses1[[#This Row],[ket_cuc]]="Không tử vong", 0, 1)</f>
        <v>0</v>
      </c>
      <c r="AZ187" s="1" t="s">
        <v>24</v>
      </c>
      <c r="BA187" s="32">
        <v>55</v>
      </c>
      <c r="BB187" s="32">
        <v>0.18776477523642091</v>
      </c>
    </row>
    <row r="188" spans="1:54" ht="13" x14ac:dyDescent="0.15">
      <c r="A188" s="2" t="s">
        <v>44</v>
      </c>
      <c r="B188" s="15">
        <v>50</v>
      </c>
      <c r="C188" s="15">
        <f>IF(Form_Responses1[[#This Row],[gioi_tinh]]="Nữ", 0, 1)</f>
        <v>1</v>
      </c>
      <c r="D188" s="2" t="s">
        <v>26</v>
      </c>
      <c r="E188" s="15">
        <v>18.399999999999999</v>
      </c>
      <c r="F188" s="15">
        <f>IF(Form_Responses1[[#This Row],[dai_thao_duong]]="Không", 0, 1)</f>
        <v>0</v>
      </c>
      <c r="G188" s="2" t="s">
        <v>21</v>
      </c>
      <c r="H188" s="15">
        <f t="shared" si="4"/>
        <v>1</v>
      </c>
      <c r="I188" s="2" t="s">
        <v>22</v>
      </c>
      <c r="J188" s="15">
        <f>IF(Form_Responses1[[#This Row],[hoi_chung_vanh_man]]="Không", 0, 1)</f>
        <v>0</v>
      </c>
      <c r="K188" s="2" t="s">
        <v>21</v>
      </c>
      <c r="L188" s="15">
        <f>IF(Form_Responses1[[#This Row],[ckd]]="Không", 0, 1)</f>
        <v>0</v>
      </c>
      <c r="M188" s="2" t="s">
        <v>21</v>
      </c>
      <c r="N188" s="15">
        <f t="shared" si="5"/>
        <v>0</v>
      </c>
      <c r="O188" s="2" t="s">
        <v>21</v>
      </c>
      <c r="P188" s="15">
        <f>IF(Form_Responses1[[#This Row],[phan_loai_the_lam_sang]]="Suy tim mất bù cấp", 1,0)</f>
        <v>0</v>
      </c>
      <c r="Q188" s="15">
        <f>IF(Form_Responses1[[#This Row],[phan_loai_the_lam_sang]]="Phù phổi cấp", 1, 0)</f>
        <v>1</v>
      </c>
      <c r="R188" s="15">
        <f>IF(Form_Responses1[[#This Row],[phan_loai_the_lam_sang]]="Choáng tim", 1, 0)</f>
        <v>0</v>
      </c>
      <c r="S188" s="2" t="s">
        <v>45</v>
      </c>
      <c r="T188" s="15">
        <v>78</v>
      </c>
      <c r="U188" s="15">
        <v>120</v>
      </c>
      <c r="V188" s="15">
        <v>80</v>
      </c>
      <c r="W188" s="15">
        <f>IF(Form_Responses1[[#This Row],[hcvc]]="Không", 0, 1)</f>
        <v>1</v>
      </c>
      <c r="X188" s="2" t="s">
        <v>22</v>
      </c>
      <c r="Y188" s="15">
        <f>IF(Form_Responses1[[#This Row],[suy_ho_hap]]="Không", 0, 1)</f>
        <v>1</v>
      </c>
      <c r="Z188" s="2" t="s">
        <v>22</v>
      </c>
      <c r="AA188" s="15">
        <f>IF(Form_Responses1[[#This Row],[rung_nhi]]="Không", 0, 1)</f>
        <v>0</v>
      </c>
      <c r="AB188" s="2" t="s">
        <v>21</v>
      </c>
      <c r="AC188" s="15">
        <v>387</v>
      </c>
      <c r="AD188" s="15">
        <v>0.06</v>
      </c>
      <c r="AE188" s="15">
        <v>13.86</v>
      </c>
      <c r="AF188" s="15">
        <v>123</v>
      </c>
      <c r="AG188" s="15">
        <v>267</v>
      </c>
      <c r="AH188" s="15">
        <v>134</v>
      </c>
      <c r="AI188" s="15">
        <v>4.0999999999999996</v>
      </c>
      <c r="AJ188" s="15">
        <v>20</v>
      </c>
      <c r="AK188" s="15">
        <v>1.1599999999999999</v>
      </c>
      <c r="AL188" s="2" t="s">
        <v>21</v>
      </c>
      <c r="AM188" s="2">
        <v>3866</v>
      </c>
      <c r="AN188" s="6">
        <f>IF(Form_Responses1[[#This Row],[NT_proBNP &gt; 35000]]="Có", 35001, Form_Responses1[[#This Row],[NT_ProBNP]])</f>
        <v>3866</v>
      </c>
      <c r="AO188" s="15">
        <f>IF(Form_Responses1[[#This Row],[NT_proBNP &gt; 35000]]="Có", 1, 0)</f>
        <v>0</v>
      </c>
      <c r="AP188" s="15">
        <v>118060.3</v>
      </c>
      <c r="AQ188" s="15">
        <v>158</v>
      </c>
      <c r="AR188" s="15">
        <v>76</v>
      </c>
      <c r="AS188" s="15">
        <v>100</v>
      </c>
      <c r="AT188" s="27">
        <v>30.5</v>
      </c>
      <c r="AU188" s="15">
        <v>49.1</v>
      </c>
      <c r="AV188" s="15">
        <v>59.8</v>
      </c>
      <c r="AW188" s="15">
        <v>29</v>
      </c>
      <c r="AX188" s="15">
        <v>42</v>
      </c>
      <c r="AY188" s="22">
        <f>IF(Form_Responses1[[#This Row],[ket_cuc]]="Không tử vong", 0, 1)</f>
        <v>0</v>
      </c>
      <c r="AZ188" s="2" t="s">
        <v>24</v>
      </c>
      <c r="BA188" s="32">
        <v>35</v>
      </c>
      <c r="BB188" s="32">
        <v>3.3239881241158988E-2</v>
      </c>
    </row>
    <row r="189" spans="1:54" ht="13" x14ac:dyDescent="0.15">
      <c r="A189" s="1" t="s">
        <v>124</v>
      </c>
      <c r="B189" s="6">
        <v>43</v>
      </c>
      <c r="C189" s="6">
        <f>IF(Form_Responses1[[#This Row],[gioi_tinh]]="Nữ", 0, 1)</f>
        <v>1</v>
      </c>
      <c r="D189" s="1" t="s">
        <v>26</v>
      </c>
      <c r="E189" s="6">
        <v>22.9</v>
      </c>
      <c r="F189" s="6">
        <f>IF(Form_Responses1[[#This Row],[dai_thao_duong]]="Không", 0, 1)</f>
        <v>0</v>
      </c>
      <c r="G189" s="1" t="s">
        <v>21</v>
      </c>
      <c r="H189" s="6">
        <f t="shared" si="4"/>
        <v>0</v>
      </c>
      <c r="I189" s="1" t="s">
        <v>21</v>
      </c>
      <c r="J189" s="6">
        <f>IF(Form_Responses1[[#This Row],[hoi_chung_vanh_man]]="Không", 0, 1)</f>
        <v>0</v>
      </c>
      <c r="K189" s="1" t="s">
        <v>21</v>
      </c>
      <c r="L189" s="6">
        <f>IF(Form_Responses1[[#This Row],[ckd]]="Không", 0, 1)</f>
        <v>0</v>
      </c>
      <c r="M189" s="1" t="s">
        <v>21</v>
      </c>
      <c r="N189" s="6">
        <f t="shared" si="5"/>
        <v>0</v>
      </c>
      <c r="O189" s="1" t="s">
        <v>21</v>
      </c>
      <c r="P189" s="6">
        <f>IF(Form_Responses1[[#This Row],[phan_loai_the_lam_sang]]="Suy tim mất bù cấp", 1,0)</f>
        <v>0</v>
      </c>
      <c r="Q189" s="6">
        <f>IF(Form_Responses1[[#This Row],[phan_loai_the_lam_sang]]="Phù phổi cấp", 1, 0)</f>
        <v>0</v>
      </c>
      <c r="R189" s="6">
        <f>IF(Form_Responses1[[#This Row],[phan_loai_the_lam_sang]]="Choáng tim", 1, 0)</f>
        <v>1</v>
      </c>
      <c r="S189" s="1" t="s">
        <v>28</v>
      </c>
      <c r="T189" s="6">
        <v>70</v>
      </c>
      <c r="U189" s="6">
        <v>130</v>
      </c>
      <c r="V189" s="6">
        <v>80</v>
      </c>
      <c r="W189" s="6">
        <f>IF(Form_Responses1[[#This Row],[hcvc]]="Không", 0, 1)</f>
        <v>0</v>
      </c>
      <c r="X189" s="1" t="s">
        <v>21</v>
      </c>
      <c r="Y189" s="6">
        <f>IF(Form_Responses1[[#This Row],[suy_ho_hap]]="Không", 0, 1)</f>
        <v>0</v>
      </c>
      <c r="Z189" s="1" t="s">
        <v>21</v>
      </c>
      <c r="AA189" s="6">
        <f>IF(Form_Responses1[[#This Row],[rung_nhi]]="Không", 0, 1)</f>
        <v>0</v>
      </c>
      <c r="AB189" s="1" t="s">
        <v>21</v>
      </c>
      <c r="AC189" s="6">
        <v>626</v>
      </c>
      <c r="AD189" s="6">
        <v>0.08</v>
      </c>
      <c r="AE189" s="6">
        <v>10.37</v>
      </c>
      <c r="AF189" s="6">
        <v>143</v>
      </c>
      <c r="AG189" s="6">
        <v>170</v>
      </c>
      <c r="AH189" s="6">
        <v>138</v>
      </c>
      <c r="AI189" s="6">
        <v>2.7</v>
      </c>
      <c r="AJ189" s="6">
        <v>11</v>
      </c>
      <c r="AK189" s="6">
        <v>0.96</v>
      </c>
      <c r="AL189" s="1" t="s">
        <v>21</v>
      </c>
      <c r="AM189" s="1">
        <v>11756.3</v>
      </c>
      <c r="AN189" s="6">
        <f>IF(Form_Responses1[[#This Row],[NT_proBNP &gt; 35000]]="Có", 35001, Form_Responses1[[#This Row],[NT_ProBNP]])</f>
        <v>11756.3</v>
      </c>
      <c r="AO189" s="6">
        <f>IF(Form_Responses1[[#This Row],[NT_proBNP &gt; 35000]]="Có", 1, 0)</f>
        <v>0</v>
      </c>
      <c r="AP189" s="6">
        <v>523.29999999999995</v>
      </c>
      <c r="AQ189" s="6">
        <v>52</v>
      </c>
      <c r="AR189" s="6">
        <v>37</v>
      </c>
      <c r="AS189" s="6">
        <v>139</v>
      </c>
      <c r="AT189" s="27">
        <v>35.200000000000003</v>
      </c>
      <c r="AU189" s="6">
        <v>63.6</v>
      </c>
      <c r="AV189" s="6">
        <v>74.400000000000006</v>
      </c>
      <c r="AW189" s="6">
        <v>29</v>
      </c>
      <c r="AX189" s="6">
        <v>62</v>
      </c>
      <c r="AY189" s="24">
        <f>IF(Form_Responses1[[#This Row],[ket_cuc]]="Không tử vong", 0, 1)</f>
        <v>1</v>
      </c>
      <c r="AZ189" s="1" t="s">
        <v>29</v>
      </c>
      <c r="BA189" s="32">
        <v>27</v>
      </c>
      <c r="BB189" s="32">
        <v>2.0484290504828577E-2</v>
      </c>
    </row>
    <row r="190" spans="1:54" ht="13" x14ac:dyDescent="0.15">
      <c r="A190" s="2" t="s">
        <v>49</v>
      </c>
      <c r="B190" s="15">
        <v>68</v>
      </c>
      <c r="C190" s="15">
        <f>IF(Form_Responses1[[#This Row],[gioi_tinh]]="Nữ", 0, 1)</f>
        <v>1</v>
      </c>
      <c r="D190" s="2" t="s">
        <v>26</v>
      </c>
      <c r="E190" s="15">
        <v>24.2</v>
      </c>
      <c r="F190" s="15">
        <f>IF(Form_Responses1[[#This Row],[dai_thao_duong]]="Không", 0, 1)</f>
        <v>0</v>
      </c>
      <c r="G190" s="2" t="s">
        <v>21</v>
      </c>
      <c r="H190" s="15">
        <f t="shared" si="4"/>
        <v>1</v>
      </c>
      <c r="I190" s="2" t="s">
        <v>22</v>
      </c>
      <c r="J190" s="15">
        <f>IF(Form_Responses1[[#This Row],[hoi_chung_vanh_man]]="Không", 0, 1)</f>
        <v>0</v>
      </c>
      <c r="K190" s="2" t="s">
        <v>21</v>
      </c>
      <c r="L190" s="15">
        <f>IF(Form_Responses1[[#This Row],[ckd]]="Không", 0, 1)</f>
        <v>0</v>
      </c>
      <c r="M190" s="2" t="s">
        <v>21</v>
      </c>
      <c r="N190" s="15">
        <f t="shared" si="5"/>
        <v>0</v>
      </c>
      <c r="O190" s="2" t="s">
        <v>21</v>
      </c>
      <c r="P190" s="15">
        <f>IF(Form_Responses1[[#This Row],[phan_loai_the_lam_sang]]="Suy tim mất bù cấp", 1,0)</f>
        <v>1</v>
      </c>
      <c r="Q190" s="15">
        <f>IF(Form_Responses1[[#This Row],[phan_loai_the_lam_sang]]="Phù phổi cấp", 1, 0)</f>
        <v>0</v>
      </c>
      <c r="R190" s="15">
        <f>IF(Form_Responses1[[#This Row],[phan_loai_the_lam_sang]]="Choáng tim", 1, 0)</f>
        <v>0</v>
      </c>
      <c r="S190" s="2" t="s">
        <v>23</v>
      </c>
      <c r="T190" s="15">
        <v>60</v>
      </c>
      <c r="U190" s="15">
        <v>130</v>
      </c>
      <c r="V190" s="15">
        <v>80</v>
      </c>
      <c r="W190" s="15">
        <f>IF(Form_Responses1[[#This Row],[hcvc]]="Không", 0, 1)</f>
        <v>0</v>
      </c>
      <c r="X190" s="2" t="s">
        <v>21</v>
      </c>
      <c r="Y190" s="15">
        <f>IF(Form_Responses1[[#This Row],[suy_ho_hap]]="Không", 0, 1)</f>
        <v>1</v>
      </c>
      <c r="Z190" s="2" t="s">
        <v>22</v>
      </c>
      <c r="AA190" s="15">
        <f>IF(Form_Responses1[[#This Row],[rung_nhi]]="Không", 0, 1)</f>
        <v>0</v>
      </c>
      <c r="AB190" s="2" t="s">
        <v>21</v>
      </c>
      <c r="AC190" s="15">
        <v>600</v>
      </c>
      <c r="AD190" s="15">
        <v>0.14000000000000001</v>
      </c>
      <c r="AE190" s="15">
        <v>12.4</v>
      </c>
      <c r="AF190" s="15">
        <v>97</v>
      </c>
      <c r="AG190" s="15">
        <v>340</v>
      </c>
      <c r="AH190" s="15">
        <v>133</v>
      </c>
      <c r="AI190" s="15">
        <v>4.5</v>
      </c>
      <c r="AJ190" s="15">
        <v>31</v>
      </c>
      <c r="AK190" s="15">
        <v>1.88</v>
      </c>
      <c r="AL190" s="2" t="s">
        <v>21</v>
      </c>
      <c r="AM190" s="2">
        <v>5190.1000000000004</v>
      </c>
      <c r="AN190" s="6">
        <f>IF(Form_Responses1[[#This Row],[NT_proBNP &gt; 35000]]="Có", 35001, Form_Responses1[[#This Row],[NT_ProBNP]])</f>
        <v>5190.1000000000004</v>
      </c>
      <c r="AO190" s="15">
        <f>IF(Form_Responses1[[#This Row],[NT_proBNP &gt; 35000]]="Có", 1, 0)</f>
        <v>0</v>
      </c>
      <c r="AP190" s="15">
        <v>59.4</v>
      </c>
      <c r="AQ190" s="15">
        <v>53</v>
      </c>
      <c r="AR190" s="15">
        <v>67</v>
      </c>
      <c r="AS190" s="15">
        <v>256</v>
      </c>
      <c r="AT190" s="15">
        <v>58.6</v>
      </c>
      <c r="AU190" s="15">
        <v>36.6</v>
      </c>
      <c r="AV190" s="15">
        <v>51.6</v>
      </c>
      <c r="AW190" s="15">
        <v>28</v>
      </c>
      <c r="AX190" s="15">
        <v>48</v>
      </c>
      <c r="AY190" s="22">
        <f>IF(Form_Responses1[[#This Row],[ket_cuc]]="Không tử vong", 0, 1)</f>
        <v>0</v>
      </c>
      <c r="AZ190" s="2" t="s">
        <v>24</v>
      </c>
      <c r="BA190" s="32">
        <v>39</v>
      </c>
      <c r="BB190" s="32">
        <v>5.4454320768142501E-2</v>
      </c>
    </row>
    <row r="191" spans="1:54" ht="13" x14ac:dyDescent="0.15">
      <c r="A191" s="1" t="s">
        <v>220</v>
      </c>
      <c r="B191" s="6">
        <v>84</v>
      </c>
      <c r="C191" s="6">
        <f>IF(Form_Responses1[[#This Row],[gioi_tinh]]="Nữ", 0, 1)</f>
        <v>0</v>
      </c>
      <c r="D191" s="1" t="s">
        <v>20</v>
      </c>
      <c r="E191" s="6">
        <v>20.8</v>
      </c>
      <c r="F191" s="6">
        <f>IF(Form_Responses1[[#This Row],[dai_thao_duong]]="Không", 0, 1)</f>
        <v>0</v>
      </c>
      <c r="G191" s="1" t="s">
        <v>21</v>
      </c>
      <c r="H191" s="6">
        <f t="shared" si="4"/>
        <v>1</v>
      </c>
      <c r="I191" s="1" t="s">
        <v>22</v>
      </c>
      <c r="J191" s="6">
        <f>IF(Form_Responses1[[#This Row],[hoi_chung_vanh_man]]="Không", 0, 1)</f>
        <v>0</v>
      </c>
      <c r="K191" s="1" t="s">
        <v>21</v>
      </c>
      <c r="L191" s="6">
        <f>IF(Form_Responses1[[#This Row],[ckd]]="Không", 0, 1)</f>
        <v>0</v>
      </c>
      <c r="M191" s="1" t="s">
        <v>21</v>
      </c>
      <c r="N191" s="6">
        <f t="shared" si="5"/>
        <v>0</v>
      </c>
      <c r="O191" s="1" t="s">
        <v>21</v>
      </c>
      <c r="P191" s="6">
        <f>IF(Form_Responses1[[#This Row],[phan_loai_the_lam_sang]]="Suy tim mất bù cấp", 1,0)</f>
        <v>1</v>
      </c>
      <c r="Q191" s="6">
        <f>IF(Form_Responses1[[#This Row],[phan_loai_the_lam_sang]]="Phù phổi cấp", 1, 0)</f>
        <v>0</v>
      </c>
      <c r="R191" s="6">
        <f>IF(Form_Responses1[[#This Row],[phan_loai_the_lam_sang]]="Choáng tim", 1, 0)</f>
        <v>0</v>
      </c>
      <c r="S191" s="1" t="s">
        <v>23</v>
      </c>
      <c r="T191" s="6">
        <v>90</v>
      </c>
      <c r="U191" s="6">
        <v>90</v>
      </c>
      <c r="V191" s="6">
        <v>60</v>
      </c>
      <c r="W191" s="6">
        <f>IF(Form_Responses1[[#This Row],[hcvc]]="Không", 0, 1)</f>
        <v>1</v>
      </c>
      <c r="X191" s="1" t="s">
        <v>22</v>
      </c>
      <c r="Y191" s="6">
        <f>IF(Form_Responses1[[#This Row],[suy_ho_hap]]="Không", 0, 1)</f>
        <v>0</v>
      </c>
      <c r="Z191" s="1" t="s">
        <v>21</v>
      </c>
      <c r="AA191" s="6">
        <f>IF(Form_Responses1[[#This Row],[rung_nhi]]="Không", 0, 1)</f>
        <v>0</v>
      </c>
      <c r="AB191" s="1" t="s">
        <v>21</v>
      </c>
      <c r="AC191" s="6">
        <v>413</v>
      </c>
      <c r="AD191" s="6">
        <v>0.06</v>
      </c>
      <c r="AE191" s="6">
        <v>7</v>
      </c>
      <c r="AF191" s="6">
        <v>116</v>
      </c>
      <c r="AG191" s="6">
        <v>111</v>
      </c>
      <c r="AH191" s="6">
        <v>140</v>
      </c>
      <c r="AI191" s="6">
        <v>3.7</v>
      </c>
      <c r="AJ191" s="6">
        <v>29</v>
      </c>
      <c r="AK191" s="6">
        <v>1.32</v>
      </c>
      <c r="AL191" s="1" t="s">
        <v>21</v>
      </c>
      <c r="AM191" s="1">
        <v>20820</v>
      </c>
      <c r="AN191" s="6">
        <f>IF(Form_Responses1[[#This Row],[NT_proBNP &gt; 35000]]="Có", 35001, Form_Responses1[[#This Row],[NT_ProBNP]])</f>
        <v>20820</v>
      </c>
      <c r="AO191" s="27">
        <f>IF(Form_Responses1[[#This Row],[NT_proBNP &gt; 35000]]="Có", 1, 0)</f>
        <v>0</v>
      </c>
      <c r="AP191" s="27">
        <v>769.1</v>
      </c>
      <c r="AQ191" s="6">
        <v>28</v>
      </c>
      <c r="AR191" s="6">
        <v>24</v>
      </c>
      <c r="AS191" s="27">
        <v>120</v>
      </c>
      <c r="AT191" s="6">
        <v>41.4</v>
      </c>
      <c r="AU191" s="6">
        <v>40.700000000000003</v>
      </c>
      <c r="AV191" s="6">
        <v>47.7</v>
      </c>
      <c r="AW191" s="6">
        <v>28</v>
      </c>
      <c r="AX191" s="6">
        <v>47</v>
      </c>
      <c r="AY191" s="24">
        <f>IF(Form_Responses1[[#This Row],[ket_cuc]]="Không tử vong", 0, 1)</f>
        <v>0</v>
      </c>
      <c r="AZ191" s="1" t="s">
        <v>24</v>
      </c>
      <c r="BA191" s="32">
        <v>51</v>
      </c>
      <c r="BB191" s="32">
        <v>0.15989628072219966</v>
      </c>
    </row>
    <row r="192" spans="1:54" ht="13" x14ac:dyDescent="0.15">
      <c r="A192" s="1" t="s">
        <v>258</v>
      </c>
      <c r="B192" s="6">
        <v>53</v>
      </c>
      <c r="C192" s="6">
        <f>IF(Form_Responses1[[#This Row],[gioi_tinh]]="Nữ", 0, 1)</f>
        <v>1</v>
      </c>
      <c r="D192" s="1" t="s">
        <v>26</v>
      </c>
      <c r="E192" s="6">
        <v>22.5</v>
      </c>
      <c r="F192" s="6">
        <f>IF(Form_Responses1[[#This Row],[dai_thao_duong]]="Không", 0, 1)</f>
        <v>1</v>
      </c>
      <c r="G192" s="1" t="s">
        <v>22</v>
      </c>
      <c r="H192" s="6">
        <f t="shared" si="4"/>
        <v>1</v>
      </c>
      <c r="I192" s="1" t="s">
        <v>22</v>
      </c>
      <c r="J192" s="6">
        <f>IF(Form_Responses1[[#This Row],[hoi_chung_vanh_man]]="Không", 0, 1)</f>
        <v>1</v>
      </c>
      <c r="K192" s="1" t="s">
        <v>22</v>
      </c>
      <c r="L192" s="6">
        <f>IF(Form_Responses1[[#This Row],[ckd]]="Không", 0, 1)</f>
        <v>0</v>
      </c>
      <c r="M192" s="1" t="s">
        <v>21</v>
      </c>
      <c r="N192" s="6">
        <f t="shared" si="5"/>
        <v>0</v>
      </c>
      <c r="O192" s="1" t="s">
        <v>21</v>
      </c>
      <c r="P192" s="6">
        <f>IF(Form_Responses1[[#This Row],[phan_loai_the_lam_sang]]="Suy tim mất bù cấp", 1,0)</f>
        <v>1</v>
      </c>
      <c r="Q192" s="6">
        <f>IF(Form_Responses1[[#This Row],[phan_loai_the_lam_sang]]="Phù phổi cấp", 1, 0)</f>
        <v>0</v>
      </c>
      <c r="R192" s="6">
        <f>IF(Form_Responses1[[#This Row],[phan_loai_the_lam_sang]]="Choáng tim", 1, 0)</f>
        <v>0</v>
      </c>
      <c r="S192" s="1" t="s">
        <v>23</v>
      </c>
      <c r="T192" s="6">
        <v>90</v>
      </c>
      <c r="U192" s="6">
        <v>170</v>
      </c>
      <c r="V192" s="6">
        <v>90</v>
      </c>
      <c r="W192" s="6">
        <f>IF(Form_Responses1[[#This Row],[hcvc]]="Không", 0, 1)</f>
        <v>1</v>
      </c>
      <c r="X192" s="1" t="s">
        <v>22</v>
      </c>
      <c r="Y192" s="6">
        <f>IF(Form_Responses1[[#This Row],[suy_ho_hap]]="Không", 0, 1)</f>
        <v>0</v>
      </c>
      <c r="Z192" s="1" t="s">
        <v>21</v>
      </c>
      <c r="AA192" s="6">
        <f>IF(Form_Responses1[[#This Row],[rung_nhi]]="Không", 0, 1)</f>
        <v>0</v>
      </c>
      <c r="AB192" s="1" t="s">
        <v>21</v>
      </c>
      <c r="AC192" s="6">
        <v>500</v>
      </c>
      <c r="AD192" s="6">
        <v>0.15</v>
      </c>
      <c r="AE192" s="6">
        <v>11.02</v>
      </c>
      <c r="AF192" s="6">
        <v>88</v>
      </c>
      <c r="AG192" s="6">
        <v>220</v>
      </c>
      <c r="AH192" s="6">
        <v>140</v>
      </c>
      <c r="AI192" s="6">
        <v>4.2</v>
      </c>
      <c r="AJ192" s="6">
        <v>21.5</v>
      </c>
      <c r="AK192" s="6">
        <v>4.0599999999999996</v>
      </c>
      <c r="AL192" s="1" t="s">
        <v>22</v>
      </c>
      <c r="AM192" s="10"/>
      <c r="AN192" s="6">
        <f>IF(Form_Responses1[[#This Row],[NT_proBNP &gt; 35000]]="Có", 35001, Form_Responses1[[#This Row],[NT_ProBNP]])</f>
        <v>35001</v>
      </c>
      <c r="AO192" s="13">
        <f>IF(Form_Responses1[[#This Row],[NT_proBNP &gt; 35000]]="Có", 1, 0)</f>
        <v>1</v>
      </c>
      <c r="AP192" s="6">
        <v>2021.85</v>
      </c>
      <c r="AQ192" s="6">
        <v>38</v>
      </c>
      <c r="AR192" s="6">
        <v>22</v>
      </c>
      <c r="AS192" s="27">
        <v>99</v>
      </c>
      <c r="AT192" s="6">
        <v>44.8</v>
      </c>
      <c r="AU192" s="6">
        <v>48</v>
      </c>
      <c r="AV192" s="6">
        <v>61.5</v>
      </c>
      <c r="AW192" s="6">
        <v>28</v>
      </c>
      <c r="AX192" s="13"/>
      <c r="AY192" s="23">
        <f>IF(Form_Responses1[[#This Row],[ket_cuc]]="Không tử vong", 0, 1)</f>
        <v>0</v>
      </c>
      <c r="AZ192" s="1" t="s">
        <v>24</v>
      </c>
      <c r="BA192" s="32">
        <v>28</v>
      </c>
      <c r="BB192" s="32">
        <v>3.6026813455876106E-2</v>
      </c>
    </row>
    <row r="193" spans="1:54" ht="13" x14ac:dyDescent="0.15">
      <c r="A193" s="2" t="s">
        <v>70</v>
      </c>
      <c r="B193" s="15">
        <v>61</v>
      </c>
      <c r="C193" s="15">
        <f>IF(Form_Responses1[[#This Row],[gioi_tinh]]="Nữ", 0, 1)</f>
        <v>1</v>
      </c>
      <c r="D193" s="2" t="s">
        <v>26</v>
      </c>
      <c r="E193" s="15">
        <v>24</v>
      </c>
      <c r="F193" s="15">
        <f>IF(Form_Responses1[[#This Row],[dai_thao_duong]]="Không", 0, 1)</f>
        <v>1</v>
      </c>
      <c r="G193" s="2" t="s">
        <v>22</v>
      </c>
      <c r="H193" s="15">
        <f t="shared" si="4"/>
        <v>1</v>
      </c>
      <c r="I193" s="2" t="s">
        <v>22</v>
      </c>
      <c r="J193" s="15">
        <f>IF(Form_Responses1[[#This Row],[hoi_chung_vanh_man]]="Không", 0, 1)</f>
        <v>0</v>
      </c>
      <c r="K193" s="2" t="s">
        <v>21</v>
      </c>
      <c r="L193" s="15">
        <f>IF(Form_Responses1[[#This Row],[ckd]]="Không", 0, 1)</f>
        <v>0</v>
      </c>
      <c r="M193" s="2" t="s">
        <v>21</v>
      </c>
      <c r="N193" s="15">
        <f t="shared" si="5"/>
        <v>0</v>
      </c>
      <c r="O193" s="2" t="s">
        <v>21</v>
      </c>
      <c r="P193" s="15">
        <f>IF(Form_Responses1[[#This Row],[phan_loai_the_lam_sang]]="Suy tim mất bù cấp", 1,0)</f>
        <v>1</v>
      </c>
      <c r="Q193" s="15">
        <f>IF(Form_Responses1[[#This Row],[phan_loai_the_lam_sang]]="Phù phổi cấp", 1, 0)</f>
        <v>0</v>
      </c>
      <c r="R193" s="15">
        <f>IF(Form_Responses1[[#This Row],[phan_loai_the_lam_sang]]="Choáng tim", 1, 0)</f>
        <v>0</v>
      </c>
      <c r="S193" s="2" t="s">
        <v>23</v>
      </c>
      <c r="T193" s="15">
        <v>118</v>
      </c>
      <c r="U193" s="15">
        <v>130</v>
      </c>
      <c r="V193" s="15">
        <v>80</v>
      </c>
      <c r="W193" s="15">
        <f>IF(Form_Responses1[[#This Row],[hcvc]]="Không", 0, 1)</f>
        <v>1</v>
      </c>
      <c r="X193" s="2" t="s">
        <v>22</v>
      </c>
      <c r="Y193" s="15">
        <f>IF(Form_Responses1[[#This Row],[suy_ho_hap]]="Không", 0, 1)</f>
        <v>1</v>
      </c>
      <c r="Z193" s="2" t="s">
        <v>22</v>
      </c>
      <c r="AA193" s="15">
        <f>IF(Form_Responses1[[#This Row],[rung_nhi]]="Không", 0, 1)</f>
        <v>0</v>
      </c>
      <c r="AB193" s="2" t="s">
        <v>21</v>
      </c>
      <c r="AC193" s="15">
        <v>388</v>
      </c>
      <c r="AD193" s="15">
        <v>0.06</v>
      </c>
      <c r="AE193" s="15">
        <v>8.39</v>
      </c>
      <c r="AF193" s="15">
        <v>113</v>
      </c>
      <c r="AG193" s="15">
        <v>386</v>
      </c>
      <c r="AH193" s="15">
        <v>136</v>
      </c>
      <c r="AI193" s="15">
        <v>4</v>
      </c>
      <c r="AJ193" s="15">
        <v>18.7</v>
      </c>
      <c r="AK193" s="15">
        <v>2.0299999999999998</v>
      </c>
      <c r="AL193" s="2" t="s">
        <v>21</v>
      </c>
      <c r="AM193" s="2">
        <v>4587</v>
      </c>
      <c r="AN193" s="6">
        <f>IF(Form_Responses1[[#This Row],[NT_proBNP &gt; 35000]]="Có", 35001, Form_Responses1[[#This Row],[NT_ProBNP]])</f>
        <v>4587</v>
      </c>
      <c r="AO193" s="15">
        <f>IF(Form_Responses1[[#This Row],[NT_proBNP &gt; 35000]]="Có", 1, 0)</f>
        <v>0</v>
      </c>
      <c r="AP193" s="15">
        <v>2689.9</v>
      </c>
      <c r="AQ193" s="15">
        <v>26</v>
      </c>
      <c r="AR193" s="15">
        <v>28</v>
      </c>
      <c r="AS193" s="15">
        <v>201</v>
      </c>
      <c r="AU193" s="15">
        <v>61.5</v>
      </c>
      <c r="AV193" s="15">
        <v>71.3</v>
      </c>
      <c r="AW193" s="15">
        <v>28</v>
      </c>
      <c r="AX193" s="27">
        <v>20</v>
      </c>
      <c r="AY193" s="29">
        <f>IF(Form_Responses1[[#This Row],[ket_cuc]]="Không tử vong", 0, 1)</f>
        <v>0</v>
      </c>
      <c r="AZ193" s="2" t="s">
        <v>24</v>
      </c>
      <c r="BA193" s="32">
        <v>42</v>
      </c>
      <c r="BB193" s="32">
        <v>7.1960295591529569E-2</v>
      </c>
    </row>
    <row r="194" spans="1:54" ht="13" x14ac:dyDescent="0.15">
      <c r="A194" s="1" t="s">
        <v>102</v>
      </c>
      <c r="B194" s="6">
        <v>65</v>
      </c>
      <c r="C194" s="6">
        <f>IF(Form_Responses1[[#This Row],[gioi_tinh]]="Nữ", 0, 1)</f>
        <v>0</v>
      </c>
      <c r="D194" s="1" t="s">
        <v>20</v>
      </c>
      <c r="E194" s="6">
        <v>18.399999999999999</v>
      </c>
      <c r="F194" s="6">
        <f>IF(Form_Responses1[[#This Row],[dai_thao_duong]]="Không", 0, 1)</f>
        <v>1</v>
      </c>
      <c r="G194" s="1" t="s">
        <v>22</v>
      </c>
      <c r="H194" s="6">
        <f t="shared" ref="H194:H257" si="6">IF(I194="Có", 1, 0)</f>
        <v>1</v>
      </c>
      <c r="I194" s="1" t="s">
        <v>22</v>
      </c>
      <c r="J194" s="6">
        <f>IF(Form_Responses1[[#This Row],[hoi_chung_vanh_man]]="Không", 0, 1)</f>
        <v>0</v>
      </c>
      <c r="K194" s="1" t="s">
        <v>21</v>
      </c>
      <c r="L194" s="6">
        <f>IF(Form_Responses1[[#This Row],[ckd]]="Không", 0, 1)</f>
        <v>0</v>
      </c>
      <c r="M194" s="1" t="s">
        <v>21</v>
      </c>
      <c r="N194" s="6">
        <f t="shared" ref="N194:N257" si="7">IF(O194="Không", 0, 1)</f>
        <v>0</v>
      </c>
      <c r="O194" s="1" t="s">
        <v>21</v>
      </c>
      <c r="P194" s="6">
        <f>IF(Form_Responses1[[#This Row],[phan_loai_the_lam_sang]]="Suy tim mất bù cấp", 1,0)</f>
        <v>0</v>
      </c>
      <c r="Q194" s="6">
        <f>IF(Form_Responses1[[#This Row],[phan_loai_the_lam_sang]]="Phù phổi cấp", 1, 0)</f>
        <v>1</v>
      </c>
      <c r="R194" s="6">
        <f>IF(Form_Responses1[[#This Row],[phan_loai_the_lam_sang]]="Choáng tim", 1, 0)</f>
        <v>0</v>
      </c>
      <c r="S194" s="1" t="s">
        <v>45</v>
      </c>
      <c r="T194" s="6">
        <v>82</v>
      </c>
      <c r="U194" s="6">
        <v>130</v>
      </c>
      <c r="V194" s="6">
        <v>70</v>
      </c>
      <c r="W194" s="6">
        <f>IF(Form_Responses1[[#This Row],[hcvc]]="Không", 0, 1)</f>
        <v>1</v>
      </c>
      <c r="X194" s="1" t="s">
        <v>22</v>
      </c>
      <c r="Y194" s="6">
        <f>IF(Form_Responses1[[#This Row],[suy_ho_hap]]="Không", 0, 1)</f>
        <v>1</v>
      </c>
      <c r="Z194" s="1" t="s">
        <v>22</v>
      </c>
      <c r="AA194" s="6">
        <f>IF(Form_Responses1[[#This Row],[rung_nhi]]="Không", 0, 1)</f>
        <v>0</v>
      </c>
      <c r="AB194" s="1" t="s">
        <v>21</v>
      </c>
      <c r="AC194" s="6">
        <v>450</v>
      </c>
      <c r="AD194" s="6">
        <v>0.09</v>
      </c>
      <c r="AE194" s="6">
        <v>11.97</v>
      </c>
      <c r="AF194" s="6">
        <v>97</v>
      </c>
      <c r="AG194" s="6">
        <v>285</v>
      </c>
      <c r="AH194" s="6">
        <v>126</v>
      </c>
      <c r="AI194" s="6">
        <v>4.5999999999999996</v>
      </c>
      <c r="AJ194" s="6">
        <v>18.2</v>
      </c>
      <c r="AK194" s="6">
        <v>1.03</v>
      </c>
      <c r="AL194" s="1" t="s">
        <v>22</v>
      </c>
      <c r="AM194" s="10"/>
      <c r="AN194" s="6">
        <f>IF(Form_Responses1[[#This Row],[NT_proBNP &gt; 35000]]="Có", 35001, Form_Responses1[[#This Row],[NT_ProBNP]])</f>
        <v>35001</v>
      </c>
      <c r="AO194" s="13">
        <f>IF(Form_Responses1[[#This Row],[NT_proBNP &gt; 35000]]="Có", 1, 0)</f>
        <v>1</v>
      </c>
      <c r="AP194" s="6">
        <v>4282.1099999999997</v>
      </c>
      <c r="AQ194" s="6">
        <v>37</v>
      </c>
      <c r="AR194" s="6">
        <v>42</v>
      </c>
      <c r="AS194" s="6">
        <v>613</v>
      </c>
      <c r="AT194" s="6">
        <v>35.700000000000003</v>
      </c>
      <c r="AU194" s="6">
        <v>48.3</v>
      </c>
      <c r="AV194" s="6">
        <v>55.5</v>
      </c>
      <c r="AW194" s="6">
        <v>28</v>
      </c>
      <c r="AX194" s="6">
        <v>65</v>
      </c>
      <c r="AY194" s="24">
        <f>IF(Form_Responses1[[#This Row],[ket_cuc]]="Không tử vong", 0, 1)</f>
        <v>0</v>
      </c>
      <c r="AZ194" s="1" t="s">
        <v>24</v>
      </c>
      <c r="BA194" s="32">
        <v>37</v>
      </c>
      <c r="BB194" s="32">
        <v>6.111360371758056E-2</v>
      </c>
    </row>
    <row r="195" spans="1:54" ht="13" x14ac:dyDescent="0.15">
      <c r="A195" s="2" t="s">
        <v>227</v>
      </c>
      <c r="B195" s="15">
        <v>67</v>
      </c>
      <c r="C195" s="15">
        <f>IF(Form_Responses1[[#This Row],[gioi_tinh]]="Nữ", 0, 1)</f>
        <v>0</v>
      </c>
      <c r="D195" s="2" t="s">
        <v>20</v>
      </c>
      <c r="E195" s="15">
        <v>22</v>
      </c>
      <c r="F195" s="15">
        <f>IF(Form_Responses1[[#This Row],[dai_thao_duong]]="Không", 0, 1)</f>
        <v>0</v>
      </c>
      <c r="G195" s="2" t="s">
        <v>21</v>
      </c>
      <c r="H195" s="15">
        <f t="shared" si="6"/>
        <v>1</v>
      </c>
      <c r="I195" s="2" t="s">
        <v>22</v>
      </c>
      <c r="J195" s="15">
        <f>IF(Form_Responses1[[#This Row],[hoi_chung_vanh_man]]="Không", 0, 1)</f>
        <v>0</v>
      </c>
      <c r="K195" s="2" t="s">
        <v>21</v>
      </c>
      <c r="L195" s="15">
        <f>IF(Form_Responses1[[#This Row],[ckd]]="Không", 0, 1)</f>
        <v>0</v>
      </c>
      <c r="M195" s="2" t="s">
        <v>21</v>
      </c>
      <c r="N195" s="15">
        <f t="shared" si="7"/>
        <v>0</v>
      </c>
      <c r="O195" s="2" t="s">
        <v>21</v>
      </c>
      <c r="P195" s="15">
        <f>IF(Form_Responses1[[#This Row],[phan_loai_the_lam_sang]]="Suy tim mất bù cấp", 1,0)</f>
        <v>1</v>
      </c>
      <c r="Q195" s="15">
        <f>IF(Form_Responses1[[#This Row],[phan_loai_the_lam_sang]]="Phù phổi cấp", 1, 0)</f>
        <v>0</v>
      </c>
      <c r="R195" s="15">
        <f>IF(Form_Responses1[[#This Row],[phan_loai_the_lam_sang]]="Choáng tim", 1, 0)</f>
        <v>0</v>
      </c>
      <c r="S195" s="2" t="s">
        <v>23</v>
      </c>
      <c r="T195" s="15">
        <v>116</v>
      </c>
      <c r="U195" s="15">
        <v>110</v>
      </c>
      <c r="V195" s="15">
        <v>80</v>
      </c>
      <c r="W195" s="15">
        <f>IF(Form_Responses1[[#This Row],[hcvc]]="Không", 0, 1)</f>
        <v>1</v>
      </c>
      <c r="X195" s="2" t="s">
        <v>22</v>
      </c>
      <c r="Y195" s="15">
        <f>IF(Form_Responses1[[#This Row],[suy_ho_hap]]="Không", 0, 1)</f>
        <v>0</v>
      </c>
      <c r="Z195" s="2" t="s">
        <v>21</v>
      </c>
      <c r="AA195" s="15">
        <f>IF(Form_Responses1[[#This Row],[rung_nhi]]="Không", 0, 1)</f>
        <v>0</v>
      </c>
      <c r="AB195" s="2" t="s">
        <v>21</v>
      </c>
      <c r="AC195" s="15">
        <v>481</v>
      </c>
      <c r="AD195" s="15">
        <v>0.1</v>
      </c>
      <c r="AE195" s="15">
        <v>7.68</v>
      </c>
      <c r="AF195" s="15">
        <v>103</v>
      </c>
      <c r="AG195" s="15">
        <v>368</v>
      </c>
      <c r="AH195" s="15">
        <v>134</v>
      </c>
      <c r="AI195" s="15">
        <v>3.4</v>
      </c>
      <c r="AJ195" s="15">
        <v>8</v>
      </c>
      <c r="AK195" s="15">
        <v>0.67</v>
      </c>
      <c r="AL195" s="2" t="s">
        <v>21</v>
      </c>
      <c r="AM195" s="2">
        <v>11966</v>
      </c>
      <c r="AN195" s="6">
        <f>IF(Form_Responses1[[#This Row],[NT_proBNP &gt; 35000]]="Có", 35001, Form_Responses1[[#This Row],[NT_ProBNP]])</f>
        <v>11966</v>
      </c>
      <c r="AO195" s="15">
        <f>IF(Form_Responses1[[#This Row],[NT_proBNP &gt; 35000]]="Có", 1, 0)</f>
        <v>0</v>
      </c>
      <c r="AP195" s="15">
        <v>6986.7</v>
      </c>
      <c r="AQ195" s="15">
        <v>55</v>
      </c>
      <c r="AR195" s="15">
        <v>39</v>
      </c>
      <c r="AS195" s="15">
        <v>113</v>
      </c>
      <c r="AT195" s="15">
        <v>31</v>
      </c>
      <c r="AU195" s="15">
        <v>51</v>
      </c>
      <c r="AV195" s="15">
        <v>61</v>
      </c>
      <c r="AW195" s="15">
        <v>28</v>
      </c>
      <c r="AX195" s="18"/>
      <c r="AY195" s="26">
        <f>IF(Form_Responses1[[#This Row],[ket_cuc]]="Không tử vong", 0, 1)</f>
        <v>0</v>
      </c>
      <c r="AZ195" s="2" t="s">
        <v>24</v>
      </c>
      <c r="BA195" s="32">
        <v>44</v>
      </c>
      <c r="BB195" s="32">
        <v>6.6782326897786182E-2</v>
      </c>
    </row>
    <row r="196" spans="1:54" ht="13" x14ac:dyDescent="0.15">
      <c r="A196" s="1" t="s">
        <v>265</v>
      </c>
      <c r="B196" s="6">
        <v>74</v>
      </c>
      <c r="C196" s="6">
        <f>IF(Form_Responses1[[#This Row],[gioi_tinh]]="Nữ", 0, 1)</f>
        <v>0</v>
      </c>
      <c r="D196" s="1" t="s">
        <v>20</v>
      </c>
      <c r="E196" s="6">
        <v>19.899999999999999</v>
      </c>
      <c r="F196" s="6">
        <f>IF(Form_Responses1[[#This Row],[dai_thao_duong]]="Không", 0, 1)</f>
        <v>1</v>
      </c>
      <c r="G196" s="1" t="s">
        <v>22</v>
      </c>
      <c r="H196" s="6">
        <f t="shared" si="6"/>
        <v>1</v>
      </c>
      <c r="I196" s="1" t="s">
        <v>22</v>
      </c>
      <c r="J196" s="6">
        <f>IF(Form_Responses1[[#This Row],[hoi_chung_vanh_man]]="Không", 0, 1)</f>
        <v>1</v>
      </c>
      <c r="K196" s="1" t="s">
        <v>22</v>
      </c>
      <c r="L196" s="6">
        <f>IF(Form_Responses1[[#This Row],[ckd]]="Không", 0, 1)</f>
        <v>1</v>
      </c>
      <c r="M196" s="1" t="s">
        <v>22</v>
      </c>
      <c r="N196" s="6">
        <f t="shared" si="7"/>
        <v>0</v>
      </c>
      <c r="O196" s="1" t="s">
        <v>21</v>
      </c>
      <c r="P196" s="6">
        <f>IF(Form_Responses1[[#This Row],[phan_loai_the_lam_sang]]="Suy tim mất bù cấp", 1,0)</f>
        <v>0</v>
      </c>
      <c r="Q196" s="6">
        <f>IF(Form_Responses1[[#This Row],[phan_loai_the_lam_sang]]="Phù phổi cấp", 1, 0)</f>
        <v>1</v>
      </c>
      <c r="R196" s="6">
        <f>IF(Form_Responses1[[#This Row],[phan_loai_the_lam_sang]]="Choáng tim", 1, 0)</f>
        <v>0</v>
      </c>
      <c r="S196" s="1" t="s">
        <v>45</v>
      </c>
      <c r="T196" s="6">
        <v>82</v>
      </c>
      <c r="U196" s="6">
        <v>130</v>
      </c>
      <c r="V196" s="6">
        <v>80</v>
      </c>
      <c r="W196" s="6">
        <f>IF(Form_Responses1[[#This Row],[hcvc]]="Không", 0, 1)</f>
        <v>1</v>
      </c>
      <c r="X196" s="1" t="s">
        <v>22</v>
      </c>
      <c r="Y196" s="6">
        <f>IF(Form_Responses1[[#This Row],[suy_ho_hap]]="Không", 0, 1)</f>
        <v>1</v>
      </c>
      <c r="Z196" s="1" t="s">
        <v>22</v>
      </c>
      <c r="AA196" s="6">
        <f>IF(Form_Responses1[[#This Row],[rung_nhi]]="Không", 0, 1)</f>
        <v>0</v>
      </c>
      <c r="AB196" s="1" t="s">
        <v>21</v>
      </c>
      <c r="AC196" s="6">
        <v>519</v>
      </c>
      <c r="AD196" s="6">
        <v>0.08</v>
      </c>
      <c r="AE196" s="6">
        <v>20.88</v>
      </c>
      <c r="AF196" s="6">
        <v>113</v>
      </c>
      <c r="AG196" s="6">
        <v>264</v>
      </c>
      <c r="AH196" s="6">
        <v>136</v>
      </c>
      <c r="AI196" s="6">
        <v>4.4000000000000004</v>
      </c>
      <c r="AJ196" s="6">
        <v>18.7</v>
      </c>
      <c r="AK196" s="6">
        <v>3.73</v>
      </c>
      <c r="AL196" s="1" t="s">
        <v>22</v>
      </c>
      <c r="AM196" s="10"/>
      <c r="AN196" s="6">
        <f>IF(Form_Responses1[[#This Row],[NT_proBNP &gt; 35000]]="Có", 35001, Form_Responses1[[#This Row],[NT_ProBNP]])</f>
        <v>35001</v>
      </c>
      <c r="AO196" s="13">
        <f>IF(Form_Responses1[[#This Row],[NT_proBNP &gt; 35000]]="Có", 1, 0)</f>
        <v>1</v>
      </c>
      <c r="AP196" s="6">
        <v>23177.75</v>
      </c>
      <c r="AQ196" s="6">
        <v>84</v>
      </c>
      <c r="AR196" s="6">
        <v>20</v>
      </c>
      <c r="AS196" s="27">
        <v>248</v>
      </c>
      <c r="AT196" s="13"/>
      <c r="AU196" s="6">
        <v>35.200000000000003</v>
      </c>
      <c r="AV196" s="6">
        <v>44.3</v>
      </c>
      <c r="AW196" s="6">
        <v>28</v>
      </c>
      <c r="AX196" s="13"/>
      <c r="AY196" s="23">
        <f>IF(Form_Responses1[[#This Row],[ket_cuc]]="Không tử vong", 0, 1)</f>
        <v>0</v>
      </c>
      <c r="AZ196" s="1" t="s">
        <v>24</v>
      </c>
      <c r="BA196" s="32">
        <v>38</v>
      </c>
      <c r="BB196" s="32">
        <v>6.5733072596633163E-2</v>
      </c>
    </row>
    <row r="197" spans="1:54" ht="13" x14ac:dyDescent="0.15">
      <c r="A197" s="2" t="s">
        <v>99</v>
      </c>
      <c r="B197" s="15">
        <v>71</v>
      </c>
      <c r="C197" s="15">
        <f>IF(Form_Responses1[[#This Row],[gioi_tinh]]="Nữ", 0, 1)</f>
        <v>0</v>
      </c>
      <c r="D197" s="2" t="s">
        <v>20</v>
      </c>
      <c r="E197" s="15">
        <v>24.4</v>
      </c>
      <c r="F197" s="15">
        <f>IF(Form_Responses1[[#This Row],[dai_thao_duong]]="Không", 0, 1)</f>
        <v>0</v>
      </c>
      <c r="G197" s="2" t="s">
        <v>21</v>
      </c>
      <c r="H197" s="15">
        <f t="shared" si="6"/>
        <v>1</v>
      </c>
      <c r="I197" s="2" t="s">
        <v>22</v>
      </c>
      <c r="J197" s="15">
        <f>IF(Form_Responses1[[#This Row],[hoi_chung_vanh_man]]="Không", 0, 1)</f>
        <v>0</v>
      </c>
      <c r="K197" s="2" t="s">
        <v>21</v>
      </c>
      <c r="L197" s="15">
        <f>IF(Form_Responses1[[#This Row],[ckd]]="Không", 0, 1)</f>
        <v>0</v>
      </c>
      <c r="M197" s="2" t="s">
        <v>21</v>
      </c>
      <c r="N197" s="15">
        <f t="shared" si="7"/>
        <v>0</v>
      </c>
      <c r="O197" s="2" t="s">
        <v>21</v>
      </c>
      <c r="P197" s="15">
        <f>IF(Form_Responses1[[#This Row],[phan_loai_the_lam_sang]]="Suy tim mất bù cấp", 1,0)</f>
        <v>0</v>
      </c>
      <c r="Q197" s="15">
        <f>IF(Form_Responses1[[#This Row],[phan_loai_the_lam_sang]]="Phù phổi cấp", 1, 0)</f>
        <v>0</v>
      </c>
      <c r="R197" s="15">
        <f>IF(Form_Responses1[[#This Row],[phan_loai_the_lam_sang]]="Choáng tim", 1, 0)</f>
        <v>1</v>
      </c>
      <c r="S197" s="2" t="s">
        <v>28</v>
      </c>
      <c r="T197" s="15">
        <v>77</v>
      </c>
      <c r="U197" s="15">
        <v>90</v>
      </c>
      <c r="V197" s="15">
        <v>60</v>
      </c>
      <c r="W197" s="15">
        <f>IF(Form_Responses1[[#This Row],[hcvc]]="Không", 0, 1)</f>
        <v>1</v>
      </c>
      <c r="X197" s="2" t="s">
        <v>22</v>
      </c>
      <c r="Y197" s="15">
        <f>IF(Form_Responses1[[#This Row],[suy_ho_hap]]="Không", 0, 1)</f>
        <v>1</v>
      </c>
      <c r="Z197" s="2" t="s">
        <v>22</v>
      </c>
      <c r="AA197" s="15">
        <f>IF(Form_Responses1[[#This Row],[rung_nhi]]="Không", 0, 1)</f>
        <v>0</v>
      </c>
      <c r="AB197" s="2" t="s">
        <v>21</v>
      </c>
      <c r="AC197" s="15">
        <v>492</v>
      </c>
      <c r="AD197" s="15">
        <v>0.06</v>
      </c>
      <c r="AE197" s="15">
        <v>25.61</v>
      </c>
      <c r="AF197" s="15">
        <v>105</v>
      </c>
      <c r="AG197" s="15">
        <v>263</v>
      </c>
      <c r="AH197" s="15">
        <v>134</v>
      </c>
      <c r="AI197" s="15">
        <v>3.5</v>
      </c>
      <c r="AJ197" s="15">
        <v>28</v>
      </c>
      <c r="AK197" s="15">
        <v>1.18</v>
      </c>
      <c r="AL197" s="2" t="s">
        <v>21</v>
      </c>
      <c r="AM197" s="2">
        <v>9240.6</v>
      </c>
      <c r="AN197" s="6">
        <f>IF(Form_Responses1[[#This Row],[NT_proBNP &gt; 35000]]="Có", 35001, Form_Responses1[[#This Row],[NT_ProBNP]])</f>
        <v>9240.6</v>
      </c>
      <c r="AO197" s="15">
        <f>IF(Form_Responses1[[#This Row],[NT_proBNP &gt; 35000]]="Có", 1, 0)</f>
        <v>0</v>
      </c>
      <c r="AP197" s="15">
        <v>8410.93</v>
      </c>
      <c r="AQ197" s="15">
        <v>279</v>
      </c>
      <c r="AR197" s="15">
        <v>353</v>
      </c>
      <c r="AS197" s="15">
        <v>166</v>
      </c>
      <c r="AT197" s="18"/>
      <c r="AU197" s="15">
        <v>61.6</v>
      </c>
      <c r="AV197" s="15">
        <v>71.099999999999994</v>
      </c>
      <c r="AW197" s="15">
        <v>28</v>
      </c>
      <c r="AX197" s="27">
        <v>35</v>
      </c>
      <c r="AY197" s="29">
        <f>IF(Form_Responses1[[#This Row],[ket_cuc]]="Không tử vong", 0, 1)</f>
        <v>1</v>
      </c>
      <c r="AZ197" s="2" t="s">
        <v>29</v>
      </c>
      <c r="BA197" s="32">
        <v>47</v>
      </c>
      <c r="BB197" s="32">
        <v>9.7536639010844334E-2</v>
      </c>
    </row>
    <row r="198" spans="1:54" ht="13" x14ac:dyDescent="0.15">
      <c r="A198" s="1" t="s">
        <v>111</v>
      </c>
      <c r="B198" s="6">
        <v>76</v>
      </c>
      <c r="C198" s="6">
        <f>IF(Form_Responses1[[#This Row],[gioi_tinh]]="Nữ", 0, 1)</f>
        <v>1</v>
      </c>
      <c r="D198" s="1" t="s">
        <v>26</v>
      </c>
      <c r="E198" s="6">
        <v>25.4</v>
      </c>
      <c r="F198" s="6">
        <f>IF(Form_Responses1[[#This Row],[dai_thao_duong]]="Không", 0, 1)</f>
        <v>0</v>
      </c>
      <c r="G198" s="1" t="s">
        <v>21</v>
      </c>
      <c r="H198" s="6">
        <f t="shared" si="6"/>
        <v>1</v>
      </c>
      <c r="I198" s="1" t="s">
        <v>22</v>
      </c>
      <c r="J198" s="6">
        <f>IF(Form_Responses1[[#This Row],[hoi_chung_vanh_man]]="Không", 0, 1)</f>
        <v>1</v>
      </c>
      <c r="K198" s="1" t="s">
        <v>22</v>
      </c>
      <c r="L198" s="6">
        <f>IF(Form_Responses1[[#This Row],[ckd]]="Không", 0, 1)</f>
        <v>0</v>
      </c>
      <c r="M198" s="1" t="s">
        <v>21</v>
      </c>
      <c r="N198" s="6">
        <f t="shared" si="7"/>
        <v>0</v>
      </c>
      <c r="O198" s="1" t="s">
        <v>21</v>
      </c>
      <c r="P198" s="6">
        <f>IF(Form_Responses1[[#This Row],[phan_loai_the_lam_sang]]="Suy tim mất bù cấp", 1,0)</f>
        <v>0</v>
      </c>
      <c r="Q198" s="6">
        <f>IF(Form_Responses1[[#This Row],[phan_loai_the_lam_sang]]="Phù phổi cấp", 1, 0)</f>
        <v>0</v>
      </c>
      <c r="R198" s="6">
        <f>IF(Form_Responses1[[#This Row],[phan_loai_the_lam_sang]]="Choáng tim", 1, 0)</f>
        <v>1</v>
      </c>
      <c r="S198" s="1" t="s">
        <v>28</v>
      </c>
      <c r="T198" s="6">
        <v>126</v>
      </c>
      <c r="U198" s="6">
        <v>110</v>
      </c>
      <c r="V198" s="6">
        <v>70</v>
      </c>
      <c r="W198" s="6">
        <f>IF(Form_Responses1[[#This Row],[hcvc]]="Không", 0, 1)</f>
        <v>1</v>
      </c>
      <c r="X198" s="1" t="s">
        <v>22</v>
      </c>
      <c r="Y198" s="6">
        <f>IF(Form_Responses1[[#This Row],[suy_ho_hap]]="Không", 0, 1)</f>
        <v>1</v>
      </c>
      <c r="Z198" s="1" t="s">
        <v>22</v>
      </c>
      <c r="AA198" s="6">
        <f>IF(Form_Responses1[[#This Row],[rung_nhi]]="Không", 0, 1)</f>
        <v>0</v>
      </c>
      <c r="AB198" s="1" t="s">
        <v>21</v>
      </c>
      <c r="AC198" s="6">
        <v>443</v>
      </c>
      <c r="AD198" s="6">
        <v>0.08</v>
      </c>
      <c r="AE198" s="6">
        <v>13.38</v>
      </c>
      <c r="AF198" s="6">
        <v>124</v>
      </c>
      <c r="AG198" s="6">
        <v>322</v>
      </c>
      <c r="AH198" s="6">
        <v>133</v>
      </c>
      <c r="AI198" s="6">
        <v>4.5</v>
      </c>
      <c r="AJ198" s="6">
        <v>32</v>
      </c>
      <c r="AK198" s="6">
        <v>1.88</v>
      </c>
      <c r="AL198" s="1" t="s">
        <v>21</v>
      </c>
      <c r="AM198" s="1">
        <v>6317.7</v>
      </c>
      <c r="AN198" s="6">
        <f>IF(Form_Responses1[[#This Row],[NT_proBNP &gt; 35000]]="Có", 35001, Form_Responses1[[#This Row],[NT_ProBNP]])</f>
        <v>6317.7</v>
      </c>
      <c r="AO198" s="27">
        <f>IF(Form_Responses1[[#This Row],[NT_proBNP &gt; 35000]]="Có", 1, 0)</f>
        <v>0</v>
      </c>
      <c r="AP198" s="27">
        <v>10727.3</v>
      </c>
      <c r="AQ198" s="6">
        <v>223</v>
      </c>
      <c r="AR198" s="6">
        <v>149</v>
      </c>
      <c r="AS198" s="6">
        <v>613</v>
      </c>
      <c r="AT198" s="6">
        <v>35</v>
      </c>
      <c r="AU198" s="6">
        <v>44.8</v>
      </c>
      <c r="AV198" s="6">
        <v>54.6</v>
      </c>
      <c r="AW198" s="6">
        <v>28</v>
      </c>
      <c r="AX198" s="6">
        <v>25</v>
      </c>
      <c r="AY198" s="24">
        <f>IF(Form_Responses1[[#This Row],[ket_cuc]]="Không tử vong", 0, 1)</f>
        <v>1</v>
      </c>
      <c r="AZ198" s="1" t="s">
        <v>29</v>
      </c>
      <c r="BA198" s="32">
        <v>54</v>
      </c>
      <c r="BB198" s="32">
        <v>0.1756357840288254</v>
      </c>
    </row>
    <row r="199" spans="1:54" ht="13" x14ac:dyDescent="0.15">
      <c r="A199" s="2" t="s">
        <v>79</v>
      </c>
      <c r="B199" s="15">
        <v>53</v>
      </c>
      <c r="C199" s="15">
        <f>IF(Form_Responses1[[#This Row],[gioi_tinh]]="Nữ", 0, 1)</f>
        <v>1</v>
      </c>
      <c r="D199" s="2" t="s">
        <v>26</v>
      </c>
      <c r="E199" s="15">
        <v>20.8</v>
      </c>
      <c r="F199" s="15">
        <f>IF(Form_Responses1[[#This Row],[dai_thao_duong]]="Không", 0, 1)</f>
        <v>0</v>
      </c>
      <c r="G199" s="2" t="s">
        <v>21</v>
      </c>
      <c r="H199" s="15">
        <f t="shared" si="6"/>
        <v>1</v>
      </c>
      <c r="I199" s="2" t="s">
        <v>22</v>
      </c>
      <c r="J199" s="15">
        <f>IF(Form_Responses1[[#This Row],[hoi_chung_vanh_man]]="Không", 0, 1)</f>
        <v>0</v>
      </c>
      <c r="K199" s="2" t="s">
        <v>21</v>
      </c>
      <c r="L199" s="15">
        <f>IF(Form_Responses1[[#This Row],[ckd]]="Không", 0, 1)</f>
        <v>0</v>
      </c>
      <c r="M199" s="2" t="s">
        <v>21</v>
      </c>
      <c r="N199" s="15">
        <f t="shared" si="7"/>
        <v>0</v>
      </c>
      <c r="O199" s="2" t="s">
        <v>21</v>
      </c>
      <c r="P199" s="15">
        <f>IF(Form_Responses1[[#This Row],[phan_loai_the_lam_sang]]="Suy tim mất bù cấp", 1,0)</f>
        <v>0</v>
      </c>
      <c r="Q199" s="15">
        <f>IF(Form_Responses1[[#This Row],[phan_loai_the_lam_sang]]="Phù phổi cấp", 1, 0)</f>
        <v>0</v>
      </c>
      <c r="R199" s="15">
        <f>IF(Form_Responses1[[#This Row],[phan_loai_the_lam_sang]]="Choáng tim", 1, 0)</f>
        <v>1</v>
      </c>
      <c r="S199" s="2" t="s">
        <v>28</v>
      </c>
      <c r="T199" s="15">
        <v>80</v>
      </c>
      <c r="U199" s="15">
        <v>100</v>
      </c>
      <c r="V199" s="15">
        <v>60</v>
      </c>
      <c r="W199" s="15">
        <f>IF(Form_Responses1[[#This Row],[hcvc]]="Không", 0, 1)</f>
        <v>0</v>
      </c>
      <c r="X199" s="2" t="s">
        <v>21</v>
      </c>
      <c r="Y199" s="15">
        <f>IF(Form_Responses1[[#This Row],[suy_ho_hap]]="Không", 0, 1)</f>
        <v>1</v>
      </c>
      <c r="Z199" s="2" t="s">
        <v>22</v>
      </c>
      <c r="AA199" s="15">
        <f>IF(Form_Responses1[[#This Row],[rung_nhi]]="Không", 0, 1)</f>
        <v>0</v>
      </c>
      <c r="AB199" s="2" t="s">
        <v>21</v>
      </c>
      <c r="AC199" s="15">
        <v>413</v>
      </c>
      <c r="AD199" s="15">
        <v>0.11</v>
      </c>
      <c r="AE199" s="15">
        <v>9.24</v>
      </c>
      <c r="AF199" s="15">
        <v>133</v>
      </c>
      <c r="AG199" s="15">
        <v>161</v>
      </c>
      <c r="AH199" s="15">
        <v>129</v>
      </c>
      <c r="AI199" s="15">
        <v>4.5</v>
      </c>
      <c r="AJ199" s="15">
        <v>28</v>
      </c>
      <c r="AK199" s="15">
        <v>0.96</v>
      </c>
      <c r="AL199" s="2" t="s">
        <v>21</v>
      </c>
      <c r="AM199" s="2">
        <v>10768.2</v>
      </c>
      <c r="AN199" s="6">
        <f>IF(Form_Responses1[[#This Row],[NT_proBNP &gt; 35000]]="Có", 35001, Form_Responses1[[#This Row],[NT_ProBNP]])</f>
        <v>10768.2</v>
      </c>
      <c r="AO199" s="27">
        <f>IF(Form_Responses1[[#This Row],[NT_proBNP &gt; 35000]]="Có", 1, 0)</f>
        <v>0</v>
      </c>
      <c r="AP199" s="27">
        <v>44651.5</v>
      </c>
      <c r="AQ199" s="15">
        <v>633</v>
      </c>
      <c r="AR199" s="15">
        <v>388</v>
      </c>
      <c r="AS199" s="15">
        <v>192</v>
      </c>
      <c r="AT199" s="15">
        <v>31</v>
      </c>
      <c r="AU199" s="15">
        <v>42.2</v>
      </c>
      <c r="AV199" s="15">
        <v>47.1</v>
      </c>
      <c r="AW199" s="15">
        <v>28</v>
      </c>
      <c r="AY199" s="25">
        <f>IF(Form_Responses1[[#This Row],[ket_cuc]]="Không tử vong", 0, 1)</f>
        <v>1</v>
      </c>
      <c r="AZ199" s="2" t="s">
        <v>29</v>
      </c>
      <c r="BA199" s="32">
        <v>42</v>
      </c>
      <c r="BB199" s="32">
        <v>6.2737737407729116E-2</v>
      </c>
    </row>
    <row r="200" spans="1:54" ht="13" x14ac:dyDescent="0.15">
      <c r="A200" s="1" t="s">
        <v>136</v>
      </c>
      <c r="B200" s="6">
        <v>85</v>
      </c>
      <c r="C200" s="6">
        <f>IF(Form_Responses1[[#This Row],[gioi_tinh]]="Nữ", 0, 1)</f>
        <v>1</v>
      </c>
      <c r="D200" s="1" t="s">
        <v>26</v>
      </c>
      <c r="E200" s="6">
        <v>18.7</v>
      </c>
      <c r="F200" s="6">
        <f>IF(Form_Responses1[[#This Row],[dai_thao_duong]]="Không", 0, 1)</f>
        <v>0</v>
      </c>
      <c r="G200" s="1" t="s">
        <v>21</v>
      </c>
      <c r="H200" s="6">
        <f t="shared" si="6"/>
        <v>0</v>
      </c>
      <c r="I200" s="1" t="s">
        <v>21</v>
      </c>
      <c r="J200" s="6">
        <f>IF(Form_Responses1[[#This Row],[hoi_chung_vanh_man]]="Không", 0, 1)</f>
        <v>0</v>
      </c>
      <c r="K200" s="1" t="s">
        <v>21</v>
      </c>
      <c r="L200" s="6">
        <f>IF(Form_Responses1[[#This Row],[ckd]]="Không", 0, 1)</f>
        <v>0</v>
      </c>
      <c r="M200" s="1" t="s">
        <v>21</v>
      </c>
      <c r="N200" s="6">
        <f t="shared" si="7"/>
        <v>0</v>
      </c>
      <c r="O200" s="1" t="s">
        <v>21</v>
      </c>
      <c r="P200" s="6">
        <f>IF(Form_Responses1[[#This Row],[phan_loai_the_lam_sang]]="Suy tim mất bù cấp", 1,0)</f>
        <v>1</v>
      </c>
      <c r="Q200" s="6">
        <f>IF(Form_Responses1[[#This Row],[phan_loai_the_lam_sang]]="Phù phổi cấp", 1, 0)</f>
        <v>0</v>
      </c>
      <c r="R200" s="6">
        <f>IF(Form_Responses1[[#This Row],[phan_loai_the_lam_sang]]="Choáng tim", 1, 0)</f>
        <v>0</v>
      </c>
      <c r="S200" s="1" t="s">
        <v>23</v>
      </c>
      <c r="T200" s="6">
        <v>96</v>
      </c>
      <c r="U200" s="6">
        <v>110</v>
      </c>
      <c r="V200" s="6">
        <v>60</v>
      </c>
      <c r="W200" s="6">
        <f>IF(Form_Responses1[[#This Row],[hcvc]]="Không", 0, 1)</f>
        <v>0</v>
      </c>
      <c r="X200" s="1" t="s">
        <v>21</v>
      </c>
      <c r="Y200" s="6">
        <f>IF(Form_Responses1[[#This Row],[suy_ho_hap]]="Không", 0, 1)</f>
        <v>1</v>
      </c>
      <c r="Z200" s="1" t="s">
        <v>22</v>
      </c>
      <c r="AA200" s="6">
        <f>IF(Form_Responses1[[#This Row],[rung_nhi]]="Không", 0, 1)</f>
        <v>0</v>
      </c>
      <c r="AB200" s="1" t="s">
        <v>21</v>
      </c>
      <c r="AC200" s="6">
        <v>450</v>
      </c>
      <c r="AD200" s="6">
        <v>0.06</v>
      </c>
      <c r="AE200" s="6">
        <v>8.48</v>
      </c>
      <c r="AF200" s="6">
        <v>134</v>
      </c>
      <c r="AG200" s="6">
        <v>168</v>
      </c>
      <c r="AH200" s="6">
        <v>131</v>
      </c>
      <c r="AI200" s="6">
        <v>4.5</v>
      </c>
      <c r="AJ200" s="6">
        <v>27</v>
      </c>
      <c r="AK200" s="6">
        <v>1.4</v>
      </c>
      <c r="AL200" s="1" t="s">
        <v>21</v>
      </c>
      <c r="AM200" s="1">
        <v>11690.77</v>
      </c>
      <c r="AN200" s="6">
        <f>IF(Form_Responses1[[#This Row],[NT_proBNP &gt; 35000]]="Có", 35001, Form_Responses1[[#This Row],[NT_ProBNP]])</f>
        <v>11690.77</v>
      </c>
      <c r="AO200" s="6">
        <f>IF(Form_Responses1[[#This Row],[NT_proBNP &gt; 35000]]="Có", 1, 0)</f>
        <v>0</v>
      </c>
      <c r="AP200" s="6">
        <v>23.85</v>
      </c>
      <c r="AQ200" s="27">
        <v>530</v>
      </c>
      <c r="AR200" s="27">
        <v>630</v>
      </c>
      <c r="AS200" s="6">
        <v>92</v>
      </c>
      <c r="AT200" s="6">
        <v>41</v>
      </c>
      <c r="AU200" s="6">
        <v>48</v>
      </c>
      <c r="AV200" s="6">
        <v>58</v>
      </c>
      <c r="AW200" s="6">
        <v>27</v>
      </c>
      <c r="AX200" s="27">
        <v>55</v>
      </c>
      <c r="AY200" s="29">
        <f>IF(Form_Responses1[[#This Row],[ket_cuc]]="Không tử vong", 0, 1)</f>
        <v>0</v>
      </c>
      <c r="AZ200" s="1" t="s">
        <v>24</v>
      </c>
      <c r="BA200" s="32">
        <v>51</v>
      </c>
      <c r="BB200" s="32">
        <v>0.16882186897578882</v>
      </c>
    </row>
    <row r="201" spans="1:54" ht="13" x14ac:dyDescent="0.15">
      <c r="A201" s="2" t="s">
        <v>78</v>
      </c>
      <c r="B201" s="15">
        <v>75</v>
      </c>
      <c r="C201" s="15">
        <f>IF(Form_Responses1[[#This Row],[gioi_tinh]]="Nữ", 0, 1)</f>
        <v>1</v>
      </c>
      <c r="D201" s="2" t="s">
        <v>26</v>
      </c>
      <c r="E201" s="15">
        <v>21.5</v>
      </c>
      <c r="F201" s="15">
        <f>IF(Form_Responses1[[#This Row],[dai_thao_duong]]="Không", 0, 1)</f>
        <v>1</v>
      </c>
      <c r="G201" s="2" t="s">
        <v>22</v>
      </c>
      <c r="H201" s="15">
        <f t="shared" si="6"/>
        <v>1</v>
      </c>
      <c r="I201" s="2" t="s">
        <v>22</v>
      </c>
      <c r="J201" s="15">
        <f>IF(Form_Responses1[[#This Row],[hoi_chung_vanh_man]]="Không", 0, 1)</f>
        <v>0</v>
      </c>
      <c r="K201" s="2" t="s">
        <v>21</v>
      </c>
      <c r="L201" s="15">
        <f>IF(Form_Responses1[[#This Row],[ckd]]="Không", 0, 1)</f>
        <v>1</v>
      </c>
      <c r="M201" s="2" t="s">
        <v>22</v>
      </c>
      <c r="N201" s="15">
        <f t="shared" si="7"/>
        <v>0</v>
      </c>
      <c r="O201" s="2" t="s">
        <v>21</v>
      </c>
      <c r="P201" s="15">
        <f>IF(Form_Responses1[[#This Row],[phan_loai_the_lam_sang]]="Suy tim mất bù cấp", 1,0)</f>
        <v>0</v>
      </c>
      <c r="Q201" s="15">
        <f>IF(Form_Responses1[[#This Row],[phan_loai_the_lam_sang]]="Phù phổi cấp", 1, 0)</f>
        <v>1</v>
      </c>
      <c r="R201" s="15">
        <f>IF(Form_Responses1[[#This Row],[phan_loai_the_lam_sang]]="Choáng tim", 1, 0)</f>
        <v>0</v>
      </c>
      <c r="S201" s="2" t="s">
        <v>45</v>
      </c>
      <c r="T201" s="15">
        <v>113</v>
      </c>
      <c r="U201" s="15">
        <v>160</v>
      </c>
      <c r="V201" s="15">
        <v>100</v>
      </c>
      <c r="W201" s="15">
        <f>IF(Form_Responses1[[#This Row],[hcvc]]="Không", 0, 1)</f>
        <v>0</v>
      </c>
      <c r="X201" s="2" t="s">
        <v>21</v>
      </c>
      <c r="Y201" s="15">
        <f>IF(Form_Responses1[[#This Row],[suy_ho_hap]]="Không", 0, 1)</f>
        <v>1</v>
      </c>
      <c r="Z201" s="2" t="s">
        <v>22</v>
      </c>
      <c r="AA201" s="15">
        <f>IF(Form_Responses1[[#This Row],[rung_nhi]]="Không", 0, 1)</f>
        <v>0</v>
      </c>
      <c r="AB201" s="2" t="s">
        <v>21</v>
      </c>
      <c r="AC201" s="15">
        <v>481</v>
      </c>
      <c r="AD201" s="15">
        <v>0.12</v>
      </c>
      <c r="AE201" s="15">
        <v>10.07</v>
      </c>
      <c r="AF201" s="15">
        <v>83</v>
      </c>
      <c r="AG201" s="15">
        <v>281</v>
      </c>
      <c r="AH201" s="15">
        <v>131</v>
      </c>
      <c r="AI201" s="15">
        <v>5.8</v>
      </c>
      <c r="AJ201" s="15">
        <v>61.7</v>
      </c>
      <c r="AK201" s="15">
        <v>5.0999999999999996</v>
      </c>
      <c r="AL201" s="2" t="s">
        <v>22</v>
      </c>
      <c r="AM201" s="12"/>
      <c r="AN201" s="6">
        <f>IF(Form_Responses1[[#This Row],[NT_proBNP &gt; 35000]]="Có", 35001, Form_Responses1[[#This Row],[NT_ProBNP]])</f>
        <v>35001</v>
      </c>
      <c r="AO201" s="18">
        <f>IF(Form_Responses1[[#This Row],[NT_proBNP &gt; 35000]]="Có", 1, 0)</f>
        <v>1</v>
      </c>
      <c r="AP201" s="15">
        <v>80.63</v>
      </c>
      <c r="AQ201" s="15">
        <v>29</v>
      </c>
      <c r="AR201" s="15">
        <v>19</v>
      </c>
      <c r="AS201" s="15">
        <v>323</v>
      </c>
      <c r="AT201" s="27">
        <v>43</v>
      </c>
      <c r="AU201" s="15">
        <v>44.3</v>
      </c>
      <c r="AV201" s="15">
        <v>53.4</v>
      </c>
      <c r="AW201" s="15">
        <v>27</v>
      </c>
      <c r="AX201" s="27">
        <v>60</v>
      </c>
      <c r="AY201" s="29">
        <f>IF(Form_Responses1[[#This Row],[ket_cuc]]="Không tử vong", 0, 1)</f>
        <v>0</v>
      </c>
      <c r="AZ201" s="2" t="s">
        <v>24</v>
      </c>
      <c r="BA201" s="32">
        <v>50</v>
      </c>
      <c r="BB201" s="32">
        <v>0.15555765869728003</v>
      </c>
    </row>
    <row r="202" spans="1:54" ht="13" x14ac:dyDescent="0.15">
      <c r="A202" s="1" t="s">
        <v>202</v>
      </c>
      <c r="B202" s="6">
        <v>67</v>
      </c>
      <c r="C202" s="6">
        <f>IF(Form_Responses1[[#This Row],[gioi_tinh]]="Nữ", 0, 1)</f>
        <v>1</v>
      </c>
      <c r="D202" s="1" t="s">
        <v>26</v>
      </c>
      <c r="E202" s="6">
        <v>23.4</v>
      </c>
      <c r="F202" s="6">
        <f>IF(Form_Responses1[[#This Row],[dai_thao_duong]]="Không", 0, 1)</f>
        <v>1</v>
      </c>
      <c r="G202" s="1" t="s">
        <v>22</v>
      </c>
      <c r="H202" s="6">
        <f t="shared" si="6"/>
        <v>1</v>
      </c>
      <c r="I202" s="1" t="s">
        <v>22</v>
      </c>
      <c r="J202" s="6">
        <f>IF(Form_Responses1[[#This Row],[hoi_chung_vanh_man]]="Không", 0, 1)</f>
        <v>1</v>
      </c>
      <c r="K202" s="1" t="s">
        <v>22</v>
      </c>
      <c r="L202" s="6">
        <f>IF(Form_Responses1[[#This Row],[ckd]]="Không", 0, 1)</f>
        <v>0</v>
      </c>
      <c r="M202" s="1" t="s">
        <v>21</v>
      </c>
      <c r="N202" s="6">
        <f t="shared" si="7"/>
        <v>0</v>
      </c>
      <c r="O202" s="1" t="s">
        <v>21</v>
      </c>
      <c r="P202" s="6">
        <f>IF(Form_Responses1[[#This Row],[phan_loai_the_lam_sang]]="Suy tim mất bù cấp", 1,0)</f>
        <v>1</v>
      </c>
      <c r="Q202" s="6">
        <f>IF(Form_Responses1[[#This Row],[phan_loai_the_lam_sang]]="Phù phổi cấp", 1, 0)</f>
        <v>0</v>
      </c>
      <c r="R202" s="6">
        <f>IF(Form_Responses1[[#This Row],[phan_loai_the_lam_sang]]="Choáng tim", 1, 0)</f>
        <v>0</v>
      </c>
      <c r="S202" s="1" t="s">
        <v>23</v>
      </c>
      <c r="T202" s="6">
        <v>110</v>
      </c>
      <c r="U202" s="6">
        <v>180</v>
      </c>
      <c r="V202" s="6">
        <v>100</v>
      </c>
      <c r="W202" s="6">
        <f>IF(Form_Responses1[[#This Row],[hcvc]]="Không", 0, 1)</f>
        <v>0</v>
      </c>
      <c r="X202" s="1" t="s">
        <v>21</v>
      </c>
      <c r="Y202" s="6">
        <f>IF(Form_Responses1[[#This Row],[suy_ho_hap]]="Không", 0, 1)</f>
        <v>0</v>
      </c>
      <c r="Z202" s="1" t="s">
        <v>21</v>
      </c>
      <c r="AA202" s="6">
        <f>IF(Form_Responses1[[#This Row],[rung_nhi]]="Không", 0, 1)</f>
        <v>0</v>
      </c>
      <c r="AB202" s="1" t="s">
        <v>21</v>
      </c>
      <c r="AC202" s="6">
        <v>471</v>
      </c>
      <c r="AD202" s="6">
        <v>0.12</v>
      </c>
      <c r="AE202" s="6">
        <v>9.5</v>
      </c>
      <c r="AF202" s="6">
        <v>142</v>
      </c>
      <c r="AG202" s="6">
        <v>213</v>
      </c>
      <c r="AH202" s="6">
        <v>144</v>
      </c>
      <c r="AI202" s="6">
        <v>2.7</v>
      </c>
      <c r="AJ202" s="6">
        <v>22</v>
      </c>
      <c r="AK202" s="6">
        <v>1.62</v>
      </c>
      <c r="AL202" s="1" t="s">
        <v>21</v>
      </c>
      <c r="AM202" s="1">
        <v>18740</v>
      </c>
      <c r="AN202" s="6">
        <f>IF(Form_Responses1[[#This Row],[NT_proBNP &gt; 35000]]="Có", 35001, Form_Responses1[[#This Row],[NT_ProBNP]])</f>
        <v>18740</v>
      </c>
      <c r="AO202" s="6">
        <f>IF(Form_Responses1[[#This Row],[NT_proBNP &gt; 35000]]="Có", 1, 0)</f>
        <v>0</v>
      </c>
      <c r="AP202" s="6">
        <v>219.72</v>
      </c>
      <c r="AQ202" s="6">
        <v>37</v>
      </c>
      <c r="AR202" s="6">
        <v>51</v>
      </c>
      <c r="AS202" s="6">
        <v>119</v>
      </c>
      <c r="AT202" s="6">
        <v>32</v>
      </c>
      <c r="AU202" s="6">
        <v>60</v>
      </c>
      <c r="AV202" s="6">
        <v>67</v>
      </c>
      <c r="AW202" s="6">
        <v>27</v>
      </c>
      <c r="AY202" s="25">
        <f>IF(Form_Responses1[[#This Row],[ket_cuc]]="Không tử vong", 0, 1)</f>
        <v>0</v>
      </c>
      <c r="AZ202" s="1" t="s">
        <v>24</v>
      </c>
      <c r="BA202" s="32">
        <v>33</v>
      </c>
      <c r="BB202" s="32">
        <v>5.7162276682630894E-2</v>
      </c>
    </row>
    <row r="203" spans="1:54" ht="13" x14ac:dyDescent="0.15">
      <c r="A203" s="1" t="s">
        <v>311</v>
      </c>
      <c r="B203" s="6">
        <v>69</v>
      </c>
      <c r="C203" s="6">
        <f>IF(Form_Responses1[[#This Row],[gioi_tinh]]="Nữ", 0, 1)</f>
        <v>1</v>
      </c>
      <c r="D203" s="1" t="s">
        <v>26</v>
      </c>
      <c r="E203" s="6">
        <v>20.8</v>
      </c>
      <c r="F203" s="6">
        <f>IF(Form_Responses1[[#This Row],[dai_thao_duong]]="Không", 0, 1)</f>
        <v>0</v>
      </c>
      <c r="G203" s="1" t="s">
        <v>21</v>
      </c>
      <c r="H203" s="6">
        <f t="shared" si="6"/>
        <v>1</v>
      </c>
      <c r="I203" s="1" t="s">
        <v>22</v>
      </c>
      <c r="J203" s="6">
        <f>IF(Form_Responses1[[#This Row],[hoi_chung_vanh_man]]="Không", 0, 1)</f>
        <v>0</v>
      </c>
      <c r="K203" s="1" t="s">
        <v>21</v>
      </c>
      <c r="L203" s="6">
        <f>IF(Form_Responses1[[#This Row],[ckd]]="Không", 0, 1)</f>
        <v>0</v>
      </c>
      <c r="M203" s="1" t="s">
        <v>21</v>
      </c>
      <c r="N203" s="6">
        <f t="shared" si="7"/>
        <v>0</v>
      </c>
      <c r="O203" s="1" t="s">
        <v>21</v>
      </c>
      <c r="P203" s="6">
        <f>IF(Form_Responses1[[#This Row],[phan_loai_the_lam_sang]]="Suy tim mất bù cấp", 1,0)</f>
        <v>1</v>
      </c>
      <c r="Q203" s="6">
        <f>IF(Form_Responses1[[#This Row],[phan_loai_the_lam_sang]]="Phù phổi cấp", 1, 0)</f>
        <v>0</v>
      </c>
      <c r="R203" s="6">
        <f>IF(Form_Responses1[[#This Row],[phan_loai_the_lam_sang]]="Choáng tim", 1, 0)</f>
        <v>0</v>
      </c>
      <c r="S203" s="1" t="s">
        <v>23</v>
      </c>
      <c r="T203" s="6">
        <v>94</v>
      </c>
      <c r="U203" s="6">
        <v>100</v>
      </c>
      <c r="V203" s="6">
        <v>60</v>
      </c>
      <c r="W203" s="6">
        <f>IF(Form_Responses1[[#This Row],[hcvc]]="Không", 0, 1)</f>
        <v>0</v>
      </c>
      <c r="X203" s="1" t="s">
        <v>21</v>
      </c>
      <c r="Y203" s="6">
        <f>IF(Form_Responses1[[#This Row],[suy_ho_hap]]="Không", 0, 1)</f>
        <v>0</v>
      </c>
      <c r="Z203" s="1" t="s">
        <v>21</v>
      </c>
      <c r="AA203" s="6">
        <f>IF(Form_Responses1[[#This Row],[rung_nhi]]="Không", 0, 1)</f>
        <v>0</v>
      </c>
      <c r="AB203" s="1" t="s">
        <v>21</v>
      </c>
      <c r="AC203" s="6">
        <v>388</v>
      </c>
      <c r="AD203" s="6">
        <v>0.08</v>
      </c>
      <c r="AE203" s="6">
        <v>12.66</v>
      </c>
      <c r="AF203" s="6">
        <v>95</v>
      </c>
      <c r="AG203" s="6">
        <v>308</v>
      </c>
      <c r="AH203" s="6">
        <v>132</v>
      </c>
      <c r="AI203" s="6">
        <v>3.8</v>
      </c>
      <c r="AJ203" s="6">
        <v>5.6</v>
      </c>
      <c r="AK203" s="6">
        <v>1.28</v>
      </c>
      <c r="AL203" s="1" t="s">
        <v>21</v>
      </c>
      <c r="AM203" s="28">
        <v>8344.5</v>
      </c>
      <c r="AN203" s="6">
        <f>IF(Form_Responses1[[#This Row],[NT_proBNP &gt; 35000]]="Có", 35001, Form_Responses1[[#This Row],[NT_ProBNP]])</f>
        <v>8344.5</v>
      </c>
      <c r="AO203" s="27">
        <f>IF(Form_Responses1[[#This Row],[NT_proBNP &gt; 35000]]="Có", 1, 0)</f>
        <v>0</v>
      </c>
      <c r="AP203" s="6">
        <v>299</v>
      </c>
      <c r="AQ203" s="6">
        <v>22</v>
      </c>
      <c r="AR203" s="6">
        <v>9</v>
      </c>
      <c r="AS203" s="6">
        <v>88</v>
      </c>
      <c r="AT203" s="27">
        <v>47</v>
      </c>
      <c r="AU203" s="6">
        <v>51</v>
      </c>
      <c r="AV203" s="6">
        <v>58</v>
      </c>
      <c r="AW203" s="6">
        <v>27</v>
      </c>
      <c r="AX203" s="13"/>
      <c r="AY203" s="23">
        <f>IF(Form_Responses1[[#This Row],[ket_cuc]]="Không tử vong", 0, 1)</f>
        <v>0</v>
      </c>
      <c r="AZ203" s="1" t="s">
        <v>24</v>
      </c>
      <c r="BA203" s="32">
        <v>43</v>
      </c>
      <c r="BB203" s="32">
        <v>7.346246241907238E-2</v>
      </c>
    </row>
    <row r="204" spans="1:54" ht="13" x14ac:dyDescent="0.15">
      <c r="A204" s="2" t="s">
        <v>274</v>
      </c>
      <c r="B204" s="15">
        <v>91</v>
      </c>
      <c r="C204" s="15">
        <f>IF(Form_Responses1[[#This Row],[gioi_tinh]]="Nữ", 0, 1)</f>
        <v>0</v>
      </c>
      <c r="D204" s="2" t="s">
        <v>20</v>
      </c>
      <c r="E204" s="15">
        <v>24.4</v>
      </c>
      <c r="F204" s="15">
        <f>IF(Form_Responses1[[#This Row],[dai_thao_duong]]="Không", 0, 1)</f>
        <v>1</v>
      </c>
      <c r="G204" s="2" t="s">
        <v>22</v>
      </c>
      <c r="H204" s="15">
        <f t="shared" si="6"/>
        <v>0</v>
      </c>
      <c r="I204" s="2" t="s">
        <v>21</v>
      </c>
      <c r="J204" s="15">
        <f>IF(Form_Responses1[[#This Row],[hoi_chung_vanh_man]]="Không", 0, 1)</f>
        <v>1</v>
      </c>
      <c r="K204" s="2" t="s">
        <v>22</v>
      </c>
      <c r="L204" s="15">
        <f>IF(Form_Responses1[[#This Row],[ckd]]="Không", 0, 1)</f>
        <v>1</v>
      </c>
      <c r="M204" s="2" t="s">
        <v>22</v>
      </c>
      <c r="N204" s="15">
        <f t="shared" si="7"/>
        <v>0</v>
      </c>
      <c r="O204" s="2" t="s">
        <v>21</v>
      </c>
      <c r="P204" s="15">
        <f>IF(Form_Responses1[[#This Row],[phan_loai_the_lam_sang]]="Suy tim mất bù cấp", 1,0)</f>
        <v>1</v>
      </c>
      <c r="Q204" s="15">
        <f>IF(Form_Responses1[[#This Row],[phan_loai_the_lam_sang]]="Phù phổi cấp", 1, 0)</f>
        <v>0</v>
      </c>
      <c r="R204" s="15">
        <f>IF(Form_Responses1[[#This Row],[phan_loai_the_lam_sang]]="Choáng tim", 1, 0)</f>
        <v>0</v>
      </c>
      <c r="S204" s="2" t="s">
        <v>23</v>
      </c>
      <c r="T204" s="15">
        <v>106</v>
      </c>
      <c r="U204" s="15">
        <v>160</v>
      </c>
      <c r="V204" s="15">
        <v>80</v>
      </c>
      <c r="W204" s="15">
        <f>IF(Form_Responses1[[#This Row],[hcvc]]="Không", 0, 1)</f>
        <v>0</v>
      </c>
      <c r="X204" s="2" t="s">
        <v>21</v>
      </c>
      <c r="Y204" s="15">
        <f>IF(Form_Responses1[[#This Row],[suy_ho_hap]]="Không", 0, 1)</f>
        <v>1</v>
      </c>
      <c r="Z204" s="2" t="s">
        <v>22</v>
      </c>
      <c r="AA204" s="15">
        <f>IF(Form_Responses1[[#This Row],[rung_nhi]]="Không", 0, 1)</f>
        <v>0</v>
      </c>
      <c r="AB204" s="2" t="s">
        <v>21</v>
      </c>
      <c r="AC204" s="15">
        <v>428</v>
      </c>
      <c r="AD204" s="15">
        <v>7.0000000000000007E-2</v>
      </c>
      <c r="AE204" s="15">
        <v>7.42</v>
      </c>
      <c r="AF204" s="15">
        <v>118</v>
      </c>
      <c r="AG204" s="15">
        <v>166</v>
      </c>
      <c r="AH204" s="15">
        <v>142</v>
      </c>
      <c r="AI204" s="15">
        <v>4.0999999999999996</v>
      </c>
      <c r="AJ204" s="15">
        <v>19</v>
      </c>
      <c r="AK204" s="15">
        <v>1.29</v>
      </c>
      <c r="AL204" s="2" t="s">
        <v>22</v>
      </c>
      <c r="AM204" s="12"/>
      <c r="AN204" s="6">
        <f>IF(Form_Responses1[[#This Row],[NT_proBNP &gt; 35000]]="Có", 35001, Form_Responses1[[#This Row],[NT_ProBNP]])</f>
        <v>35001</v>
      </c>
      <c r="AO204" s="18">
        <f>IF(Form_Responses1[[#This Row],[NT_proBNP &gt; 35000]]="Có", 1, 0)</f>
        <v>1</v>
      </c>
      <c r="AP204" s="15">
        <v>316.58999999999997</v>
      </c>
      <c r="AQ204" s="15">
        <v>18</v>
      </c>
      <c r="AR204" s="15">
        <v>12</v>
      </c>
      <c r="AS204" s="15">
        <v>274</v>
      </c>
      <c r="AT204" s="18"/>
      <c r="AU204" s="15">
        <v>52</v>
      </c>
      <c r="AV204" s="15">
        <v>63</v>
      </c>
      <c r="AW204" s="15">
        <v>27</v>
      </c>
      <c r="AX204" s="15">
        <v>65</v>
      </c>
      <c r="AY204" s="22">
        <f>IF(Form_Responses1[[#This Row],[ket_cuc]]="Không tử vong", 0, 1)</f>
        <v>0</v>
      </c>
      <c r="AZ204" s="2" t="s">
        <v>24</v>
      </c>
      <c r="BA204" s="32">
        <v>43</v>
      </c>
      <c r="BB204" s="32">
        <v>0.13660249280648062</v>
      </c>
    </row>
    <row r="205" spans="1:54" ht="13" x14ac:dyDescent="0.15">
      <c r="A205" s="1" t="s">
        <v>307</v>
      </c>
      <c r="B205" s="6">
        <v>61</v>
      </c>
      <c r="C205" s="6">
        <f>IF(Form_Responses1[[#This Row],[gioi_tinh]]="Nữ", 0, 1)</f>
        <v>0</v>
      </c>
      <c r="D205" s="1" t="s">
        <v>20</v>
      </c>
      <c r="E205" s="6">
        <v>24.6</v>
      </c>
      <c r="F205" s="6">
        <f>IF(Form_Responses1[[#This Row],[dai_thao_duong]]="Không", 0, 1)</f>
        <v>1</v>
      </c>
      <c r="G205" s="1" t="s">
        <v>22</v>
      </c>
      <c r="H205" s="6">
        <f t="shared" si="6"/>
        <v>1</v>
      </c>
      <c r="I205" s="1" t="s">
        <v>22</v>
      </c>
      <c r="J205" s="6">
        <f>IF(Form_Responses1[[#This Row],[hoi_chung_vanh_man]]="Không", 0, 1)</f>
        <v>0</v>
      </c>
      <c r="K205" s="1" t="s">
        <v>21</v>
      </c>
      <c r="L205" s="6">
        <f>IF(Form_Responses1[[#This Row],[ckd]]="Không", 0, 1)</f>
        <v>0</v>
      </c>
      <c r="M205" s="1" t="s">
        <v>21</v>
      </c>
      <c r="N205" s="6">
        <f t="shared" si="7"/>
        <v>0</v>
      </c>
      <c r="O205" s="1" t="s">
        <v>21</v>
      </c>
      <c r="P205" s="6">
        <f>IF(Form_Responses1[[#This Row],[phan_loai_the_lam_sang]]="Suy tim mất bù cấp", 1,0)</f>
        <v>1</v>
      </c>
      <c r="Q205" s="6">
        <f>IF(Form_Responses1[[#This Row],[phan_loai_the_lam_sang]]="Phù phổi cấp", 1, 0)</f>
        <v>0</v>
      </c>
      <c r="R205" s="6">
        <f>IF(Form_Responses1[[#This Row],[phan_loai_the_lam_sang]]="Choáng tim", 1, 0)</f>
        <v>0</v>
      </c>
      <c r="S205" s="1" t="s">
        <v>23</v>
      </c>
      <c r="T205" s="6">
        <v>92</v>
      </c>
      <c r="U205" s="6">
        <v>160</v>
      </c>
      <c r="V205" s="6">
        <v>80</v>
      </c>
      <c r="W205" s="6">
        <f>IF(Form_Responses1[[#This Row],[hcvc]]="Không", 0, 1)</f>
        <v>0</v>
      </c>
      <c r="X205" s="1" t="s">
        <v>21</v>
      </c>
      <c r="Y205" s="6">
        <f>IF(Form_Responses1[[#This Row],[suy_ho_hap]]="Không", 0, 1)</f>
        <v>1</v>
      </c>
      <c r="Z205" s="1" t="s">
        <v>22</v>
      </c>
      <c r="AA205" s="6">
        <f>IF(Form_Responses1[[#This Row],[rung_nhi]]="Không", 0, 1)</f>
        <v>0</v>
      </c>
      <c r="AB205" s="1" t="s">
        <v>21</v>
      </c>
      <c r="AC205" s="6">
        <v>480</v>
      </c>
      <c r="AD205" s="6">
        <v>0.14000000000000001</v>
      </c>
      <c r="AE205" s="6">
        <v>9.07</v>
      </c>
      <c r="AF205" s="6">
        <v>134</v>
      </c>
      <c r="AG205" s="6">
        <v>177</v>
      </c>
      <c r="AH205" s="6">
        <v>136</v>
      </c>
      <c r="AI205" s="6">
        <v>3.7</v>
      </c>
      <c r="AJ205" s="6">
        <v>8.4</v>
      </c>
      <c r="AK205" s="6">
        <v>1.1200000000000001</v>
      </c>
      <c r="AL205" s="1" t="s">
        <v>22</v>
      </c>
      <c r="AM205" s="10"/>
      <c r="AN205" s="6">
        <f>IF(Form_Responses1[[#This Row],[NT_proBNP &gt; 35000]]="Có", 35001, Form_Responses1[[#This Row],[NT_ProBNP]])</f>
        <v>35001</v>
      </c>
      <c r="AO205" s="5">
        <f>IF(Form_Responses1[[#This Row],[NT_proBNP &gt; 35000]]="Có", 1, 0)</f>
        <v>1</v>
      </c>
      <c r="AP205" s="27">
        <v>666.4</v>
      </c>
      <c r="AQ205" s="6">
        <v>41</v>
      </c>
      <c r="AR205" s="6">
        <v>20</v>
      </c>
      <c r="AS205" s="6">
        <v>156</v>
      </c>
      <c r="AT205" s="5">
        <v>42</v>
      </c>
      <c r="AU205" s="6">
        <v>59</v>
      </c>
      <c r="AV205" s="6">
        <v>66</v>
      </c>
      <c r="AW205" s="6">
        <v>27</v>
      </c>
      <c r="AX205" s="13"/>
      <c r="AY205" s="23">
        <f>IF(Form_Responses1[[#This Row],[ket_cuc]]="Không tử vong", 0, 1)</f>
        <v>0</v>
      </c>
      <c r="AZ205" s="1" t="s">
        <v>24</v>
      </c>
      <c r="BA205" s="32">
        <v>31</v>
      </c>
      <c r="BB205" s="32">
        <v>4.2455326274202503E-2</v>
      </c>
    </row>
    <row r="206" spans="1:54" ht="13" x14ac:dyDescent="0.15">
      <c r="A206" s="2" t="s">
        <v>223</v>
      </c>
      <c r="B206" s="15">
        <v>61</v>
      </c>
      <c r="C206" s="15">
        <f>IF(Form_Responses1[[#This Row],[gioi_tinh]]="Nữ", 0, 1)</f>
        <v>0</v>
      </c>
      <c r="D206" s="2" t="s">
        <v>20</v>
      </c>
      <c r="E206" s="15">
        <v>25</v>
      </c>
      <c r="F206" s="15">
        <f>IF(Form_Responses1[[#This Row],[dai_thao_duong]]="Không", 0, 1)</f>
        <v>1</v>
      </c>
      <c r="G206" s="2" t="s">
        <v>22</v>
      </c>
      <c r="H206" s="15">
        <f t="shared" si="6"/>
        <v>1</v>
      </c>
      <c r="I206" s="2" t="s">
        <v>22</v>
      </c>
      <c r="J206" s="15">
        <f>IF(Form_Responses1[[#This Row],[hoi_chung_vanh_man]]="Không", 0, 1)</f>
        <v>0</v>
      </c>
      <c r="K206" s="2" t="s">
        <v>21</v>
      </c>
      <c r="L206" s="15">
        <f>IF(Form_Responses1[[#This Row],[ckd]]="Không", 0, 1)</f>
        <v>1</v>
      </c>
      <c r="M206" s="2" t="s">
        <v>22</v>
      </c>
      <c r="N206" s="15">
        <f t="shared" si="7"/>
        <v>0</v>
      </c>
      <c r="O206" s="2" t="s">
        <v>21</v>
      </c>
      <c r="P206" s="15">
        <f>IF(Form_Responses1[[#This Row],[phan_loai_the_lam_sang]]="Suy tim mất bù cấp", 1,0)</f>
        <v>1</v>
      </c>
      <c r="Q206" s="15">
        <f>IF(Form_Responses1[[#This Row],[phan_loai_the_lam_sang]]="Phù phổi cấp", 1, 0)</f>
        <v>0</v>
      </c>
      <c r="R206" s="15">
        <f>IF(Form_Responses1[[#This Row],[phan_loai_the_lam_sang]]="Choáng tim", 1, 0)</f>
        <v>0</v>
      </c>
      <c r="S206" s="2" t="s">
        <v>23</v>
      </c>
      <c r="T206" s="15">
        <v>120</v>
      </c>
      <c r="U206" s="15">
        <v>160</v>
      </c>
      <c r="V206" s="15">
        <v>100</v>
      </c>
      <c r="W206" s="15">
        <f>IF(Form_Responses1[[#This Row],[hcvc]]="Không", 0, 1)</f>
        <v>0</v>
      </c>
      <c r="X206" s="2" t="s">
        <v>21</v>
      </c>
      <c r="Y206" s="15">
        <f>IF(Form_Responses1[[#This Row],[suy_ho_hap]]="Không", 0, 1)</f>
        <v>0</v>
      </c>
      <c r="Z206" s="2" t="s">
        <v>21</v>
      </c>
      <c r="AA206" s="15">
        <f>IF(Form_Responses1[[#This Row],[rung_nhi]]="Không", 0, 1)</f>
        <v>0</v>
      </c>
      <c r="AB206" s="2" t="s">
        <v>21</v>
      </c>
      <c r="AC206" s="15">
        <v>444</v>
      </c>
      <c r="AD206" s="15">
        <v>0.06</v>
      </c>
      <c r="AE206" s="15">
        <v>6.93</v>
      </c>
      <c r="AF206" s="15">
        <v>149</v>
      </c>
      <c r="AG206" s="15">
        <v>297</v>
      </c>
      <c r="AH206" s="15">
        <v>132</v>
      </c>
      <c r="AI206" s="15">
        <v>3.4</v>
      </c>
      <c r="AJ206" s="15">
        <v>23</v>
      </c>
      <c r="AK206" s="15">
        <v>1.27</v>
      </c>
      <c r="AL206" s="2" t="s">
        <v>21</v>
      </c>
      <c r="AM206" s="2">
        <v>19205</v>
      </c>
      <c r="AN206" s="6">
        <f>IF(Form_Responses1[[#This Row],[NT_proBNP &gt; 35000]]="Có", 35001, Form_Responses1[[#This Row],[NT_ProBNP]])</f>
        <v>19205</v>
      </c>
      <c r="AO206" s="27">
        <f>IF(Form_Responses1[[#This Row],[NT_proBNP &gt; 35000]]="Có", 1, 0)</f>
        <v>0</v>
      </c>
      <c r="AP206" s="27">
        <v>1240</v>
      </c>
      <c r="AQ206" s="15">
        <v>31</v>
      </c>
      <c r="AR206" s="15">
        <v>13</v>
      </c>
      <c r="AS206" s="15">
        <v>122</v>
      </c>
      <c r="AT206" s="15">
        <v>35</v>
      </c>
      <c r="AU206" s="15">
        <v>58</v>
      </c>
      <c r="AV206" s="15">
        <v>67</v>
      </c>
      <c r="AW206" s="15">
        <v>27</v>
      </c>
      <c r="AY206" s="25">
        <f>IF(Form_Responses1[[#This Row],[ket_cuc]]="Không tử vong", 0, 1)</f>
        <v>0</v>
      </c>
      <c r="AZ206" s="2" t="s">
        <v>24</v>
      </c>
      <c r="BA206" s="32">
        <v>40</v>
      </c>
      <c r="BB206" s="32">
        <v>5.606211985441141E-2</v>
      </c>
    </row>
    <row r="207" spans="1:54" ht="13" x14ac:dyDescent="0.15">
      <c r="A207" s="1" t="s">
        <v>127</v>
      </c>
      <c r="B207" s="6">
        <v>61</v>
      </c>
      <c r="C207" s="6">
        <f>IF(Form_Responses1[[#This Row],[gioi_tinh]]="Nữ", 0, 1)</f>
        <v>1</v>
      </c>
      <c r="D207" s="1" t="s">
        <v>26</v>
      </c>
      <c r="E207" s="6">
        <v>24.2</v>
      </c>
      <c r="F207" s="6">
        <f>IF(Form_Responses1[[#This Row],[dai_thao_duong]]="Không", 0, 1)</f>
        <v>0</v>
      </c>
      <c r="G207" s="1" t="s">
        <v>21</v>
      </c>
      <c r="H207" s="6">
        <f t="shared" si="6"/>
        <v>0</v>
      </c>
      <c r="I207" s="1" t="s">
        <v>21</v>
      </c>
      <c r="J207" s="6">
        <f>IF(Form_Responses1[[#This Row],[hoi_chung_vanh_man]]="Không", 0, 1)</f>
        <v>0</v>
      </c>
      <c r="K207" s="1" t="s">
        <v>21</v>
      </c>
      <c r="L207" s="6">
        <f>IF(Form_Responses1[[#This Row],[ckd]]="Không", 0, 1)</f>
        <v>0</v>
      </c>
      <c r="M207" s="1" t="s">
        <v>21</v>
      </c>
      <c r="N207" s="6">
        <f t="shared" si="7"/>
        <v>0</v>
      </c>
      <c r="O207" s="1" t="s">
        <v>21</v>
      </c>
      <c r="P207" s="6">
        <f>IF(Form_Responses1[[#This Row],[phan_loai_the_lam_sang]]="Suy tim mất bù cấp", 1,0)</f>
        <v>0</v>
      </c>
      <c r="Q207" s="6">
        <f>IF(Form_Responses1[[#This Row],[phan_loai_the_lam_sang]]="Phù phổi cấp", 1, 0)</f>
        <v>0</v>
      </c>
      <c r="R207" s="6">
        <f>IF(Form_Responses1[[#This Row],[phan_loai_the_lam_sang]]="Choáng tim", 1, 0)</f>
        <v>1</v>
      </c>
      <c r="S207" s="1" t="s">
        <v>28</v>
      </c>
      <c r="T207" s="6">
        <v>86</v>
      </c>
      <c r="U207" s="6">
        <v>110</v>
      </c>
      <c r="V207" s="6">
        <v>70</v>
      </c>
      <c r="W207" s="6">
        <f>IF(Form_Responses1[[#This Row],[hcvc]]="Không", 0, 1)</f>
        <v>1</v>
      </c>
      <c r="X207" s="1" t="s">
        <v>22</v>
      </c>
      <c r="Y207" s="6">
        <f>IF(Form_Responses1[[#This Row],[suy_ho_hap]]="Không", 0, 1)</f>
        <v>1</v>
      </c>
      <c r="Z207" s="1" t="s">
        <v>22</v>
      </c>
      <c r="AA207" s="6">
        <f>IF(Form_Responses1[[#This Row],[rung_nhi]]="Không", 0, 1)</f>
        <v>0</v>
      </c>
      <c r="AB207" s="1" t="s">
        <v>21</v>
      </c>
      <c r="AC207" s="6">
        <v>388</v>
      </c>
      <c r="AD207" s="6">
        <v>0.08</v>
      </c>
      <c r="AE207" s="6">
        <v>20.8</v>
      </c>
      <c r="AF207" s="6">
        <v>161</v>
      </c>
      <c r="AG207" s="6">
        <v>172</v>
      </c>
      <c r="AH207" s="6">
        <v>137</v>
      </c>
      <c r="AI207" s="6">
        <v>4</v>
      </c>
      <c r="AJ207" s="6">
        <v>15</v>
      </c>
      <c r="AK207" s="6">
        <v>1.26</v>
      </c>
      <c r="AL207" s="1" t="s">
        <v>21</v>
      </c>
      <c r="AM207" s="1">
        <v>1862</v>
      </c>
      <c r="AN207" s="6">
        <f>IF(Form_Responses1[[#This Row],[NT_proBNP &gt; 35000]]="Có", 35001, Form_Responses1[[#This Row],[NT_ProBNP]])</f>
        <v>1862</v>
      </c>
      <c r="AO207" s="6">
        <f>IF(Form_Responses1[[#This Row],[NT_proBNP &gt; 35000]]="Có", 1, 0)</f>
        <v>0</v>
      </c>
      <c r="AP207" s="6">
        <v>500000</v>
      </c>
      <c r="AQ207" s="6">
        <v>449</v>
      </c>
      <c r="AR207" s="6">
        <v>234</v>
      </c>
      <c r="AS207" s="6">
        <v>375</v>
      </c>
      <c r="AU207" s="6">
        <v>41.8</v>
      </c>
      <c r="AV207" s="6">
        <v>49</v>
      </c>
      <c r="AW207" s="6">
        <v>27</v>
      </c>
      <c r="AX207" s="27">
        <v>45</v>
      </c>
      <c r="AY207" s="29">
        <f>IF(Form_Responses1[[#This Row],[ket_cuc]]="Không tử vong", 0, 1)</f>
        <v>1</v>
      </c>
      <c r="AZ207" s="1" t="s">
        <v>29</v>
      </c>
      <c r="BA207" s="32">
        <v>40</v>
      </c>
      <c r="BB207" s="32">
        <v>5.403364984453473E-2</v>
      </c>
    </row>
    <row r="208" spans="1:54" ht="13" x14ac:dyDescent="0.15">
      <c r="A208" s="2" t="s">
        <v>131</v>
      </c>
      <c r="B208" s="15">
        <v>49</v>
      </c>
      <c r="C208" s="15">
        <f>IF(Form_Responses1[[#This Row],[gioi_tinh]]="Nữ", 0, 1)</f>
        <v>1</v>
      </c>
      <c r="D208" s="2" t="s">
        <v>26</v>
      </c>
      <c r="E208" s="15">
        <v>20.8</v>
      </c>
      <c r="F208" s="15">
        <f>IF(Form_Responses1[[#This Row],[dai_thao_duong]]="Không", 0, 1)</f>
        <v>0</v>
      </c>
      <c r="G208" s="2" t="s">
        <v>21</v>
      </c>
      <c r="H208" s="15">
        <f t="shared" si="6"/>
        <v>0</v>
      </c>
      <c r="I208" s="2" t="s">
        <v>21</v>
      </c>
      <c r="J208" s="15">
        <f>IF(Form_Responses1[[#This Row],[hoi_chung_vanh_man]]="Không", 0, 1)</f>
        <v>0</v>
      </c>
      <c r="K208" s="2" t="s">
        <v>21</v>
      </c>
      <c r="L208" s="15">
        <f>IF(Form_Responses1[[#This Row],[ckd]]="Không", 0, 1)</f>
        <v>0</v>
      </c>
      <c r="M208" s="2" t="s">
        <v>21</v>
      </c>
      <c r="N208" s="15">
        <f t="shared" si="7"/>
        <v>0</v>
      </c>
      <c r="O208" s="2" t="s">
        <v>21</v>
      </c>
      <c r="P208" s="15">
        <f>IF(Form_Responses1[[#This Row],[phan_loai_the_lam_sang]]="Suy tim mất bù cấp", 1,0)</f>
        <v>1</v>
      </c>
      <c r="Q208" s="15">
        <f>IF(Form_Responses1[[#This Row],[phan_loai_the_lam_sang]]="Phù phổi cấp", 1, 0)</f>
        <v>0</v>
      </c>
      <c r="R208" s="15">
        <f>IF(Form_Responses1[[#This Row],[phan_loai_the_lam_sang]]="Choáng tim", 1, 0)</f>
        <v>0</v>
      </c>
      <c r="S208" s="2" t="s">
        <v>23</v>
      </c>
      <c r="T208" s="15">
        <v>162</v>
      </c>
      <c r="U208" s="15">
        <v>130</v>
      </c>
      <c r="V208" s="15">
        <v>70</v>
      </c>
      <c r="W208" s="15">
        <f>IF(Form_Responses1[[#This Row],[hcvc]]="Không", 0, 1)</f>
        <v>0</v>
      </c>
      <c r="X208" s="2" t="s">
        <v>21</v>
      </c>
      <c r="Y208" s="15">
        <f>IF(Form_Responses1[[#This Row],[suy_ho_hap]]="Không", 0, 1)</f>
        <v>0</v>
      </c>
      <c r="Z208" s="2" t="s">
        <v>21</v>
      </c>
      <c r="AA208" s="15">
        <f>IF(Form_Responses1[[#This Row],[rung_nhi]]="Không", 0, 1)</f>
        <v>0</v>
      </c>
      <c r="AB208" s="2" t="s">
        <v>21</v>
      </c>
      <c r="AC208" s="15">
        <v>380</v>
      </c>
      <c r="AD208" s="15">
        <v>0.08</v>
      </c>
      <c r="AE208" s="15">
        <v>14.7</v>
      </c>
      <c r="AF208" s="15">
        <v>108</v>
      </c>
      <c r="AG208" s="15">
        <v>466</v>
      </c>
      <c r="AH208" s="15">
        <v>135</v>
      </c>
      <c r="AI208" s="15">
        <v>3.9</v>
      </c>
      <c r="AJ208" s="15">
        <v>10</v>
      </c>
      <c r="AK208" s="15">
        <v>0.86</v>
      </c>
      <c r="AL208" s="2" t="s">
        <v>22</v>
      </c>
      <c r="AN208" s="6">
        <f>IF(Form_Responses1[[#This Row],[NT_proBNP &gt; 35000]]="Có", 35001, Form_Responses1[[#This Row],[NT_ProBNP]])</f>
        <v>35001</v>
      </c>
      <c r="AO208" s="5">
        <f>IF(Form_Responses1[[#This Row],[NT_proBNP &gt; 35000]]="Có", 1, 0)</f>
        <v>1</v>
      </c>
      <c r="AP208" s="15">
        <v>30.2</v>
      </c>
      <c r="AQ208" s="15">
        <v>19</v>
      </c>
      <c r="AR208" s="15">
        <v>16</v>
      </c>
      <c r="AS208" s="15">
        <v>126</v>
      </c>
      <c r="AT208" s="27">
        <v>50</v>
      </c>
      <c r="AU208" s="15">
        <v>66</v>
      </c>
      <c r="AV208" s="15">
        <v>77</v>
      </c>
      <c r="AW208" s="15">
        <v>26</v>
      </c>
      <c r="AX208" s="27">
        <v>42</v>
      </c>
      <c r="AY208" s="29">
        <f>IF(Form_Responses1[[#This Row],[ket_cuc]]="Không tử vong", 0, 1)</f>
        <v>0</v>
      </c>
      <c r="AZ208" s="2" t="s">
        <v>24</v>
      </c>
      <c r="BA208" s="32">
        <v>36</v>
      </c>
      <c r="BB208" s="32">
        <v>8.9594187637284134E-2</v>
      </c>
    </row>
    <row r="209" spans="1:55" ht="13" x14ac:dyDescent="0.15">
      <c r="A209" s="1" t="s">
        <v>46</v>
      </c>
      <c r="B209" s="6">
        <v>50</v>
      </c>
      <c r="C209" s="6">
        <f>IF(Form_Responses1[[#This Row],[gioi_tinh]]="Nữ", 0, 1)</f>
        <v>0</v>
      </c>
      <c r="D209" s="1" t="s">
        <v>20</v>
      </c>
      <c r="E209" s="6">
        <v>27.1</v>
      </c>
      <c r="F209" s="6">
        <f>IF(Form_Responses1[[#This Row],[dai_thao_duong]]="Không", 0, 1)</f>
        <v>1</v>
      </c>
      <c r="G209" s="1" t="s">
        <v>22</v>
      </c>
      <c r="H209" s="6">
        <f t="shared" si="6"/>
        <v>1</v>
      </c>
      <c r="I209" s="1" t="s">
        <v>22</v>
      </c>
      <c r="J209" s="6">
        <f>IF(Form_Responses1[[#This Row],[hoi_chung_vanh_man]]="Không", 0, 1)</f>
        <v>1</v>
      </c>
      <c r="K209" s="1" t="s">
        <v>22</v>
      </c>
      <c r="L209" s="6">
        <f>IF(Form_Responses1[[#This Row],[ckd]]="Không", 0, 1)</f>
        <v>1</v>
      </c>
      <c r="M209" s="1" t="s">
        <v>22</v>
      </c>
      <c r="N209" s="6">
        <f t="shared" si="7"/>
        <v>0</v>
      </c>
      <c r="O209" s="1" t="s">
        <v>21</v>
      </c>
      <c r="P209" s="6">
        <f>IF(Form_Responses1[[#This Row],[phan_loai_the_lam_sang]]="Suy tim mất bù cấp", 1,0)</f>
        <v>1</v>
      </c>
      <c r="Q209" s="6">
        <f>IF(Form_Responses1[[#This Row],[phan_loai_the_lam_sang]]="Phù phổi cấp", 1, 0)</f>
        <v>0</v>
      </c>
      <c r="R209" s="6">
        <f>IF(Form_Responses1[[#This Row],[phan_loai_the_lam_sang]]="Choáng tim", 1, 0)</f>
        <v>0</v>
      </c>
      <c r="S209" s="1" t="s">
        <v>23</v>
      </c>
      <c r="T209" s="6">
        <v>64</v>
      </c>
      <c r="U209" s="6">
        <v>160</v>
      </c>
      <c r="V209" s="6">
        <v>100</v>
      </c>
      <c r="W209" s="6">
        <f>IF(Form_Responses1[[#This Row],[hcvc]]="Không", 0, 1)</f>
        <v>0</v>
      </c>
      <c r="X209" s="1" t="s">
        <v>21</v>
      </c>
      <c r="Y209" s="6">
        <f>IF(Form_Responses1[[#This Row],[suy_ho_hap]]="Không", 0, 1)</f>
        <v>0</v>
      </c>
      <c r="Z209" s="1" t="s">
        <v>21</v>
      </c>
      <c r="AA209" s="6">
        <f>IF(Form_Responses1[[#This Row],[rung_nhi]]="Không", 0, 1)</f>
        <v>0</v>
      </c>
      <c r="AB209" s="1" t="s">
        <v>21</v>
      </c>
      <c r="AC209" s="6">
        <v>443</v>
      </c>
      <c r="AD209" s="6">
        <v>0.08</v>
      </c>
      <c r="AE209" s="6">
        <v>8.41</v>
      </c>
      <c r="AF209" s="6">
        <v>146</v>
      </c>
      <c r="AG209" s="6">
        <v>126</v>
      </c>
      <c r="AH209" s="6">
        <v>136</v>
      </c>
      <c r="AI209" s="6">
        <v>3.3</v>
      </c>
      <c r="AJ209" s="6">
        <v>23</v>
      </c>
      <c r="AK209" s="6">
        <v>1.18</v>
      </c>
      <c r="AL209" s="1" t="s">
        <v>21</v>
      </c>
      <c r="AM209" s="1">
        <v>2642.4</v>
      </c>
      <c r="AN209" s="6">
        <f>IF(Form_Responses1[[#This Row],[NT_proBNP &gt; 35000]]="Có", 35001, Form_Responses1[[#This Row],[NT_ProBNP]])</f>
        <v>2642.4</v>
      </c>
      <c r="AO209" s="6">
        <f>IF(Form_Responses1[[#This Row],[NT_proBNP &gt; 35000]]="Có", 1, 0)</f>
        <v>0</v>
      </c>
      <c r="AP209" s="6">
        <v>35.92</v>
      </c>
      <c r="AQ209" s="6">
        <v>129</v>
      </c>
      <c r="AR209" s="6">
        <v>90</v>
      </c>
      <c r="AS209" s="6">
        <v>116</v>
      </c>
      <c r="AT209" s="6">
        <v>51</v>
      </c>
      <c r="AU209" s="6">
        <v>46</v>
      </c>
      <c r="AV209" s="6">
        <v>50</v>
      </c>
      <c r="AW209" s="6">
        <v>26</v>
      </c>
      <c r="AX209" s="27">
        <v>42</v>
      </c>
      <c r="AY209" s="29">
        <f>IF(Form_Responses1[[#This Row],[ket_cuc]]="Không tử vong", 0, 1)</f>
        <v>0</v>
      </c>
      <c r="AZ209" s="1" t="s">
        <v>24</v>
      </c>
      <c r="BA209" s="32">
        <v>28</v>
      </c>
      <c r="BB209" s="32">
        <v>2.0352281848807906E-2</v>
      </c>
    </row>
    <row r="210" spans="1:55" ht="13" x14ac:dyDescent="0.15">
      <c r="A210" s="2" t="s">
        <v>282</v>
      </c>
      <c r="B210" s="15">
        <v>18</v>
      </c>
      <c r="C210" s="15">
        <f>IF(Form_Responses1[[#This Row],[gioi_tinh]]="Nữ", 0, 1)</f>
        <v>1</v>
      </c>
      <c r="D210" s="2" t="s">
        <v>26</v>
      </c>
      <c r="E210" s="15">
        <v>22.9</v>
      </c>
      <c r="F210" s="15">
        <f>IF(Form_Responses1[[#This Row],[dai_thao_duong]]="Không", 0, 1)</f>
        <v>0</v>
      </c>
      <c r="G210" s="2" t="s">
        <v>21</v>
      </c>
      <c r="H210" s="15">
        <f t="shared" si="6"/>
        <v>0</v>
      </c>
      <c r="I210" s="2" t="s">
        <v>21</v>
      </c>
      <c r="J210" s="15">
        <f>IF(Form_Responses1[[#This Row],[hoi_chung_vanh_man]]="Không", 0, 1)</f>
        <v>0</v>
      </c>
      <c r="K210" s="2" t="s">
        <v>21</v>
      </c>
      <c r="L210" s="15">
        <f>IF(Form_Responses1[[#This Row],[ckd]]="Không", 0, 1)</f>
        <v>0</v>
      </c>
      <c r="M210" s="2" t="s">
        <v>21</v>
      </c>
      <c r="N210" s="15">
        <f t="shared" si="7"/>
        <v>0</v>
      </c>
      <c r="O210" s="2" t="s">
        <v>21</v>
      </c>
      <c r="P210" s="15">
        <f>IF(Form_Responses1[[#This Row],[phan_loai_the_lam_sang]]="Suy tim mất bù cấp", 1,0)</f>
        <v>1</v>
      </c>
      <c r="Q210" s="15">
        <f>IF(Form_Responses1[[#This Row],[phan_loai_the_lam_sang]]="Phù phổi cấp", 1, 0)</f>
        <v>0</v>
      </c>
      <c r="R210" s="15">
        <f>IF(Form_Responses1[[#This Row],[phan_loai_the_lam_sang]]="Choáng tim", 1, 0)</f>
        <v>0</v>
      </c>
      <c r="S210" s="2" t="s">
        <v>23</v>
      </c>
      <c r="T210" s="15">
        <v>118</v>
      </c>
      <c r="U210" s="15">
        <v>100</v>
      </c>
      <c r="V210" s="15">
        <v>60</v>
      </c>
      <c r="W210" s="15">
        <f>IF(Form_Responses1[[#This Row],[hcvc]]="Không", 0, 1)</f>
        <v>0</v>
      </c>
      <c r="X210" s="2" t="s">
        <v>21</v>
      </c>
      <c r="Y210" s="15">
        <f>IF(Form_Responses1[[#This Row],[suy_ho_hap]]="Không", 0, 1)</f>
        <v>0</v>
      </c>
      <c r="Z210" s="2" t="s">
        <v>21</v>
      </c>
      <c r="AA210" s="15">
        <f>IF(Form_Responses1[[#This Row],[rung_nhi]]="Không", 0, 1)</f>
        <v>0</v>
      </c>
      <c r="AB210" s="2" t="s">
        <v>21</v>
      </c>
      <c r="AC210" s="15">
        <v>406</v>
      </c>
      <c r="AD210" s="15">
        <v>0.14000000000000001</v>
      </c>
      <c r="AE210" s="15">
        <v>8.01</v>
      </c>
      <c r="AF210" s="15">
        <v>183</v>
      </c>
      <c r="AG210" s="15">
        <v>183</v>
      </c>
      <c r="AH210" s="15">
        <v>133</v>
      </c>
      <c r="AI210" s="15">
        <v>3.4</v>
      </c>
      <c r="AJ210" s="15">
        <v>7.5</v>
      </c>
      <c r="AK210" s="15">
        <v>1.05</v>
      </c>
      <c r="AL210" s="2" t="s">
        <v>21</v>
      </c>
      <c r="AM210" s="28">
        <v>6341.21</v>
      </c>
      <c r="AN210" s="6">
        <f>IF(Form_Responses1[[#This Row],[NT_proBNP &gt; 35000]]="Có", 35001, Form_Responses1[[#This Row],[NT_ProBNP]])</f>
        <v>6341.21</v>
      </c>
      <c r="AO210" s="27">
        <f>IF(Form_Responses1[[#This Row],[NT_proBNP &gt; 35000]]="Có", 1, 0)</f>
        <v>0</v>
      </c>
      <c r="AP210" s="15">
        <v>161.80000000000001</v>
      </c>
      <c r="AQ210" s="15">
        <v>314</v>
      </c>
      <c r="AR210" s="15">
        <v>312</v>
      </c>
      <c r="AS210" s="15">
        <v>71</v>
      </c>
      <c r="AT210" s="15">
        <v>40.700000000000003</v>
      </c>
      <c r="AU210" s="15">
        <v>53.6</v>
      </c>
      <c r="AV210" s="15">
        <v>59.7</v>
      </c>
      <c r="AW210" s="15">
        <v>26</v>
      </c>
      <c r="AX210" s="15">
        <v>30</v>
      </c>
      <c r="AY210" s="22">
        <f>IF(Form_Responses1[[#This Row],[ket_cuc]]="Không tử vong", 0, 1)</f>
        <v>0</v>
      </c>
      <c r="AZ210" s="2" t="s">
        <v>24</v>
      </c>
      <c r="BA210" s="32">
        <v>33</v>
      </c>
      <c r="BB210" s="32">
        <v>2.5362349258565193E-2</v>
      </c>
    </row>
    <row r="211" spans="1:55" ht="13" x14ac:dyDescent="0.15">
      <c r="A211" s="1" t="s">
        <v>133</v>
      </c>
      <c r="B211" s="6">
        <v>47</v>
      </c>
      <c r="C211" s="6">
        <f>IF(Form_Responses1[[#This Row],[gioi_tinh]]="Nữ", 0, 1)</f>
        <v>1</v>
      </c>
      <c r="D211" s="1" t="s">
        <v>26</v>
      </c>
      <c r="E211" s="6">
        <v>20.8</v>
      </c>
      <c r="F211" s="6">
        <f>IF(Form_Responses1[[#This Row],[dai_thao_duong]]="Không", 0, 1)</f>
        <v>0</v>
      </c>
      <c r="G211" s="1" t="s">
        <v>21</v>
      </c>
      <c r="H211" s="6">
        <f t="shared" si="6"/>
        <v>0</v>
      </c>
      <c r="I211" s="1" t="s">
        <v>21</v>
      </c>
      <c r="J211" s="6">
        <f>IF(Form_Responses1[[#This Row],[hoi_chung_vanh_man]]="Không", 0, 1)</f>
        <v>0</v>
      </c>
      <c r="K211" s="1" t="s">
        <v>21</v>
      </c>
      <c r="L211" s="6">
        <f>IF(Form_Responses1[[#This Row],[ckd]]="Không", 0, 1)</f>
        <v>0</v>
      </c>
      <c r="M211" s="1" t="s">
        <v>21</v>
      </c>
      <c r="N211" s="6">
        <f t="shared" si="7"/>
        <v>0</v>
      </c>
      <c r="O211" s="1" t="s">
        <v>21</v>
      </c>
      <c r="P211" s="6">
        <f>IF(Form_Responses1[[#This Row],[phan_loai_the_lam_sang]]="Suy tim mất bù cấp", 1,0)</f>
        <v>1</v>
      </c>
      <c r="Q211" s="6">
        <f>IF(Form_Responses1[[#This Row],[phan_loai_the_lam_sang]]="Phù phổi cấp", 1, 0)</f>
        <v>0</v>
      </c>
      <c r="R211" s="6">
        <f>IF(Form_Responses1[[#This Row],[phan_loai_the_lam_sang]]="Choáng tim", 1, 0)</f>
        <v>0</v>
      </c>
      <c r="S211" s="1" t="s">
        <v>23</v>
      </c>
      <c r="T211" s="6">
        <v>107</v>
      </c>
      <c r="U211" s="6">
        <v>90</v>
      </c>
      <c r="V211" s="6">
        <v>60</v>
      </c>
      <c r="W211" s="6">
        <f>IF(Form_Responses1[[#This Row],[hcvc]]="Không", 0, 1)</f>
        <v>0</v>
      </c>
      <c r="X211" s="1" t="s">
        <v>21</v>
      </c>
      <c r="Y211" s="6">
        <f>IF(Form_Responses1[[#This Row],[suy_ho_hap]]="Không", 0, 1)</f>
        <v>0</v>
      </c>
      <c r="Z211" s="1" t="s">
        <v>21</v>
      </c>
      <c r="AA211" s="6">
        <f>IF(Form_Responses1[[#This Row],[rung_nhi]]="Không", 0, 1)</f>
        <v>0</v>
      </c>
      <c r="AB211" s="1" t="s">
        <v>21</v>
      </c>
      <c r="AC211" s="6">
        <v>481</v>
      </c>
      <c r="AD211" s="6">
        <v>0.08</v>
      </c>
      <c r="AE211" s="6">
        <v>7.24</v>
      </c>
      <c r="AF211" s="6">
        <v>131</v>
      </c>
      <c r="AG211" s="6">
        <v>232</v>
      </c>
      <c r="AH211" s="6">
        <v>136</v>
      </c>
      <c r="AI211" s="6">
        <v>4.2</v>
      </c>
      <c r="AJ211" s="6">
        <v>17</v>
      </c>
      <c r="AK211" s="6">
        <v>0.93</v>
      </c>
      <c r="AL211" s="1" t="s">
        <v>21</v>
      </c>
      <c r="AM211" s="28">
        <v>1395.9</v>
      </c>
      <c r="AN211" s="6">
        <f>IF(Form_Responses1[[#This Row],[NT_proBNP &gt; 35000]]="Có", 35001, Form_Responses1[[#This Row],[NT_ProBNP]])</f>
        <v>1395.9</v>
      </c>
      <c r="AO211" s="27">
        <f>IF(Form_Responses1[[#This Row],[NT_proBNP &gt; 35000]]="Có", 1, 0)</f>
        <v>0</v>
      </c>
      <c r="AP211" s="6">
        <v>315.26</v>
      </c>
      <c r="AQ211" s="6">
        <v>26</v>
      </c>
      <c r="AR211" s="6">
        <v>21</v>
      </c>
      <c r="AS211" s="6">
        <v>83</v>
      </c>
      <c r="AT211" s="27">
        <v>33.299999999999997</v>
      </c>
      <c r="AU211" s="6">
        <v>55.7</v>
      </c>
      <c r="AV211" s="6">
        <v>64.2</v>
      </c>
      <c r="AW211" s="6">
        <v>26</v>
      </c>
      <c r="AX211" s="27">
        <v>30</v>
      </c>
      <c r="AY211" s="29">
        <f>IF(Form_Responses1[[#This Row],[ket_cuc]]="Không tử vong", 0, 1)</f>
        <v>0</v>
      </c>
      <c r="AZ211" s="1" t="s">
        <v>24</v>
      </c>
      <c r="BA211" s="32">
        <v>44</v>
      </c>
      <c r="BB211" s="32">
        <v>5.9731834362035684E-2</v>
      </c>
    </row>
    <row r="212" spans="1:55" ht="13" x14ac:dyDescent="0.15">
      <c r="A212" s="2" t="s">
        <v>130</v>
      </c>
      <c r="B212" s="15">
        <v>68</v>
      </c>
      <c r="C212" s="15">
        <f>IF(Form_Responses1[[#This Row],[gioi_tinh]]="Nữ", 0, 1)</f>
        <v>0</v>
      </c>
      <c r="D212" s="2" t="s">
        <v>20</v>
      </c>
      <c r="E212" s="15">
        <v>17.8</v>
      </c>
      <c r="F212" s="15">
        <f>IF(Form_Responses1[[#This Row],[dai_thao_duong]]="Không", 0, 1)</f>
        <v>1</v>
      </c>
      <c r="G212" s="2" t="s">
        <v>22</v>
      </c>
      <c r="H212" s="15">
        <f t="shared" si="6"/>
        <v>1</v>
      </c>
      <c r="I212" s="2" t="s">
        <v>22</v>
      </c>
      <c r="J212" s="15">
        <f>IF(Form_Responses1[[#This Row],[hoi_chung_vanh_man]]="Không", 0, 1)</f>
        <v>1</v>
      </c>
      <c r="K212" s="2" t="s">
        <v>22</v>
      </c>
      <c r="L212" s="15">
        <f>IF(Form_Responses1[[#This Row],[ckd]]="Không", 0, 1)</f>
        <v>0</v>
      </c>
      <c r="M212" s="2" t="s">
        <v>21</v>
      </c>
      <c r="N212" s="15">
        <f t="shared" si="7"/>
        <v>0</v>
      </c>
      <c r="O212" s="2" t="s">
        <v>21</v>
      </c>
      <c r="P212" s="15">
        <f>IF(Form_Responses1[[#This Row],[phan_loai_the_lam_sang]]="Suy tim mất bù cấp", 1,0)</f>
        <v>0</v>
      </c>
      <c r="Q212" s="15">
        <f>IF(Form_Responses1[[#This Row],[phan_loai_the_lam_sang]]="Phù phổi cấp", 1, 0)</f>
        <v>1</v>
      </c>
      <c r="R212" s="15">
        <f>IF(Form_Responses1[[#This Row],[phan_loai_the_lam_sang]]="Choáng tim", 1, 0)</f>
        <v>0</v>
      </c>
      <c r="S212" s="2" t="s">
        <v>45</v>
      </c>
      <c r="T212" s="15">
        <v>88</v>
      </c>
      <c r="U212" s="15">
        <v>190</v>
      </c>
      <c r="V212" s="15">
        <v>100</v>
      </c>
      <c r="W212" s="15">
        <f>IF(Form_Responses1[[#This Row],[hcvc]]="Không", 0, 1)</f>
        <v>1</v>
      </c>
      <c r="X212" s="2" t="s">
        <v>22</v>
      </c>
      <c r="Y212" s="15">
        <f>IF(Form_Responses1[[#This Row],[suy_ho_hap]]="Không", 0, 1)</f>
        <v>1</v>
      </c>
      <c r="Z212" s="2" t="s">
        <v>22</v>
      </c>
      <c r="AA212" s="15">
        <f>IF(Form_Responses1[[#This Row],[rung_nhi]]="Không", 0, 1)</f>
        <v>0</v>
      </c>
      <c r="AB212" s="2" t="s">
        <v>21</v>
      </c>
      <c r="AC212" s="15">
        <v>359</v>
      </c>
      <c r="AD212" s="15">
        <v>0.08</v>
      </c>
      <c r="AE212" s="15">
        <v>24.08</v>
      </c>
      <c r="AF212" s="15">
        <v>130</v>
      </c>
      <c r="AG212" s="15">
        <v>205</v>
      </c>
      <c r="AH212" s="15">
        <v>142</v>
      </c>
      <c r="AI212" s="15">
        <v>4.2</v>
      </c>
      <c r="AJ212" s="15">
        <v>38</v>
      </c>
      <c r="AK212" s="15">
        <v>2.14</v>
      </c>
      <c r="AL212" s="2" t="s">
        <v>22</v>
      </c>
      <c r="AM212" s="12"/>
      <c r="AN212" s="6">
        <f>IF(Form_Responses1[[#This Row],[NT_proBNP &gt; 35000]]="Có", 35001, Form_Responses1[[#This Row],[NT_ProBNP]])</f>
        <v>35001</v>
      </c>
      <c r="AO212" s="18">
        <f>IF(Form_Responses1[[#This Row],[NT_proBNP &gt; 35000]]="Có", 1, 0)</f>
        <v>1</v>
      </c>
      <c r="AP212" s="15">
        <v>5474.13</v>
      </c>
      <c r="AQ212" s="15">
        <v>52</v>
      </c>
      <c r="AR212" s="15">
        <v>21</v>
      </c>
      <c r="AS212" s="15">
        <v>110</v>
      </c>
      <c r="AT212" s="27">
        <v>29</v>
      </c>
      <c r="AU212" s="15">
        <v>36.200000000000003</v>
      </c>
      <c r="AV212" s="15">
        <v>46.8</v>
      </c>
      <c r="AW212" s="15">
        <v>26</v>
      </c>
      <c r="AX212" s="15">
        <v>46</v>
      </c>
      <c r="AY212" s="22">
        <f>IF(Form_Responses1[[#This Row],[ket_cuc]]="Không tử vong", 0, 1)</f>
        <v>0</v>
      </c>
      <c r="AZ212" s="2" t="s">
        <v>24</v>
      </c>
      <c r="BA212" s="32">
        <v>28</v>
      </c>
      <c r="BB212" s="32">
        <v>6.1618178085112871E-2</v>
      </c>
    </row>
    <row r="213" spans="1:55" ht="13" x14ac:dyDescent="0.15">
      <c r="A213" s="2" t="s">
        <v>54</v>
      </c>
      <c r="B213" s="15">
        <v>56</v>
      </c>
      <c r="C213" s="15">
        <f>IF(Form_Responses1[[#This Row],[gioi_tinh]]="Nữ", 0, 1)</f>
        <v>0</v>
      </c>
      <c r="D213" s="2" t="s">
        <v>20</v>
      </c>
      <c r="E213" s="15">
        <v>22</v>
      </c>
      <c r="F213" s="15">
        <f>IF(Form_Responses1[[#This Row],[dai_thao_duong]]="Không", 0, 1)</f>
        <v>1</v>
      </c>
      <c r="G213" s="2" t="s">
        <v>22</v>
      </c>
      <c r="H213" s="15">
        <f t="shared" si="6"/>
        <v>1</v>
      </c>
      <c r="I213" s="2" t="s">
        <v>22</v>
      </c>
      <c r="J213" s="15">
        <f>IF(Form_Responses1[[#This Row],[hoi_chung_vanh_man]]="Không", 0, 1)</f>
        <v>0</v>
      </c>
      <c r="K213" s="2" t="s">
        <v>21</v>
      </c>
      <c r="L213" s="15">
        <f>IF(Form_Responses1[[#This Row],[ckd]]="Không", 0, 1)</f>
        <v>0</v>
      </c>
      <c r="M213" s="2" t="s">
        <v>21</v>
      </c>
      <c r="N213" s="15">
        <f t="shared" si="7"/>
        <v>0</v>
      </c>
      <c r="O213" s="2" t="s">
        <v>21</v>
      </c>
      <c r="P213" s="15">
        <f>IF(Form_Responses1[[#This Row],[phan_loai_the_lam_sang]]="Suy tim mất bù cấp", 1,0)</f>
        <v>1</v>
      </c>
      <c r="Q213" s="15">
        <f>IF(Form_Responses1[[#This Row],[phan_loai_the_lam_sang]]="Phù phổi cấp", 1, 0)</f>
        <v>0</v>
      </c>
      <c r="R213" s="15">
        <f>IF(Form_Responses1[[#This Row],[phan_loai_the_lam_sang]]="Choáng tim", 1, 0)</f>
        <v>0</v>
      </c>
      <c r="S213" s="2" t="s">
        <v>23</v>
      </c>
      <c r="T213" s="15">
        <v>76</v>
      </c>
      <c r="U213" s="15">
        <v>160</v>
      </c>
      <c r="V213" s="15">
        <v>90</v>
      </c>
      <c r="W213" s="15">
        <f>IF(Form_Responses1[[#This Row],[hcvc]]="Không", 0, 1)</f>
        <v>0</v>
      </c>
      <c r="X213" s="2" t="s">
        <v>21</v>
      </c>
      <c r="Y213" s="15">
        <f>IF(Form_Responses1[[#This Row],[suy_ho_hap]]="Không", 0, 1)</f>
        <v>1</v>
      </c>
      <c r="Z213" s="2" t="s">
        <v>22</v>
      </c>
      <c r="AA213" s="15">
        <f>IF(Form_Responses1[[#This Row],[rung_nhi]]="Không", 0, 1)</f>
        <v>0</v>
      </c>
      <c r="AB213" s="2" t="s">
        <v>21</v>
      </c>
      <c r="AC213" s="15">
        <v>402</v>
      </c>
      <c r="AD213" s="15">
        <v>0.06</v>
      </c>
      <c r="AE213" s="15">
        <v>6.58</v>
      </c>
      <c r="AF213" s="15">
        <v>103</v>
      </c>
      <c r="AG213" s="15">
        <v>222</v>
      </c>
      <c r="AH213" s="15">
        <v>138</v>
      </c>
      <c r="AI213" s="15">
        <v>3.5</v>
      </c>
      <c r="AJ213" s="15">
        <v>25</v>
      </c>
      <c r="AK213" s="15">
        <v>1.76</v>
      </c>
      <c r="AL213" s="2" t="s">
        <v>21</v>
      </c>
      <c r="AM213" s="2">
        <v>24792.799999999999</v>
      </c>
      <c r="AN213" s="6">
        <f>IF(Form_Responses1[[#This Row],[NT_proBNP &gt; 35000]]="Có", 35001, Form_Responses1[[#This Row],[NT_ProBNP]])</f>
        <v>24792.799999999999</v>
      </c>
      <c r="AO213" s="15">
        <f>IF(Form_Responses1[[#This Row],[NT_proBNP &gt; 35000]]="Có", 1, 0)</f>
        <v>0</v>
      </c>
      <c r="AP213" s="15">
        <v>37.549999999999997</v>
      </c>
      <c r="AQ213" s="15">
        <v>101</v>
      </c>
      <c r="AR213" s="15">
        <v>48</v>
      </c>
      <c r="AS213" s="15">
        <v>204</v>
      </c>
      <c r="AT213" s="27">
        <v>50.3</v>
      </c>
      <c r="AU213" s="15">
        <v>63.5</v>
      </c>
      <c r="AV213" s="15">
        <v>69.5</v>
      </c>
      <c r="AW213" s="15">
        <v>25</v>
      </c>
      <c r="AX213" s="15">
        <v>66</v>
      </c>
      <c r="AY213" s="22">
        <f>IF(Form_Responses1[[#This Row],[ket_cuc]]="Không tử vong", 0, 1)</f>
        <v>0</v>
      </c>
      <c r="AZ213" s="2" t="s">
        <v>24</v>
      </c>
      <c r="BA213" s="32">
        <v>27</v>
      </c>
      <c r="BB213" s="32">
        <v>3.5243317168147922E-2</v>
      </c>
    </row>
    <row r="214" spans="1:55" ht="13" x14ac:dyDescent="0.15">
      <c r="A214" s="1" t="s">
        <v>132</v>
      </c>
      <c r="B214" s="6">
        <v>18</v>
      </c>
      <c r="C214" s="6">
        <f>IF(Form_Responses1[[#This Row],[gioi_tinh]]="Nữ", 0, 1)</f>
        <v>0</v>
      </c>
      <c r="D214" s="1" t="s">
        <v>20</v>
      </c>
      <c r="E214" s="6">
        <v>23.4</v>
      </c>
      <c r="F214" s="6">
        <f>IF(Form_Responses1[[#This Row],[dai_thao_duong]]="Không", 0, 1)</f>
        <v>0</v>
      </c>
      <c r="G214" s="1" t="s">
        <v>21</v>
      </c>
      <c r="H214" s="6">
        <f t="shared" si="6"/>
        <v>1</v>
      </c>
      <c r="I214" s="1" t="s">
        <v>22</v>
      </c>
      <c r="J214" s="6">
        <f>IF(Form_Responses1[[#This Row],[hoi_chung_vanh_man]]="Không", 0, 1)</f>
        <v>0</v>
      </c>
      <c r="K214" s="1" t="s">
        <v>21</v>
      </c>
      <c r="L214" s="6">
        <f>IF(Form_Responses1[[#This Row],[ckd]]="Không", 0, 1)</f>
        <v>0</v>
      </c>
      <c r="M214" s="1" t="s">
        <v>21</v>
      </c>
      <c r="N214" s="6">
        <f t="shared" si="7"/>
        <v>0</v>
      </c>
      <c r="O214" s="1" t="s">
        <v>21</v>
      </c>
      <c r="P214" s="6">
        <f>IF(Form_Responses1[[#This Row],[phan_loai_the_lam_sang]]="Suy tim mất bù cấp", 1,0)</f>
        <v>1</v>
      </c>
      <c r="Q214" s="6">
        <f>IF(Form_Responses1[[#This Row],[phan_loai_the_lam_sang]]="Phù phổi cấp", 1, 0)</f>
        <v>0</v>
      </c>
      <c r="R214" s="6">
        <f>IF(Form_Responses1[[#This Row],[phan_loai_the_lam_sang]]="Choáng tim", 1, 0)</f>
        <v>0</v>
      </c>
      <c r="S214" s="1" t="s">
        <v>23</v>
      </c>
      <c r="T214" s="6">
        <v>99</v>
      </c>
      <c r="U214" s="6">
        <v>170</v>
      </c>
      <c r="V214" s="6">
        <v>100</v>
      </c>
      <c r="W214" s="6">
        <f>IF(Form_Responses1[[#This Row],[hcvc]]="Không", 0, 1)</f>
        <v>0</v>
      </c>
      <c r="X214" s="1" t="s">
        <v>21</v>
      </c>
      <c r="Y214" s="6">
        <f>IF(Form_Responses1[[#This Row],[suy_ho_hap]]="Không", 0, 1)</f>
        <v>0</v>
      </c>
      <c r="Z214" s="1" t="s">
        <v>21</v>
      </c>
      <c r="AA214" s="6">
        <f>IF(Form_Responses1[[#This Row],[rung_nhi]]="Không", 0, 1)</f>
        <v>0</v>
      </c>
      <c r="AB214" s="1" t="s">
        <v>21</v>
      </c>
      <c r="AC214" s="6">
        <v>447</v>
      </c>
      <c r="AD214" s="6">
        <v>0.08</v>
      </c>
      <c r="AE214" s="6">
        <v>9.75</v>
      </c>
      <c r="AF214" s="6">
        <v>153</v>
      </c>
      <c r="AG214" s="6">
        <v>351</v>
      </c>
      <c r="AH214" s="6">
        <v>130</v>
      </c>
      <c r="AI214" s="6">
        <v>3.1</v>
      </c>
      <c r="AJ214" s="6">
        <v>16</v>
      </c>
      <c r="AK214" s="6">
        <v>0.84</v>
      </c>
      <c r="AL214" s="1" t="s">
        <v>21</v>
      </c>
      <c r="AM214" s="1">
        <v>10158</v>
      </c>
      <c r="AN214" s="6">
        <f>IF(Form_Responses1[[#This Row],[NT_proBNP &gt; 35000]]="Có", 35001, Form_Responses1[[#This Row],[NT_ProBNP]])</f>
        <v>10158</v>
      </c>
      <c r="AO214" s="6">
        <f>IF(Form_Responses1[[#This Row],[NT_proBNP &gt; 35000]]="Có", 1, 0)</f>
        <v>0</v>
      </c>
      <c r="AP214" s="6">
        <v>45.23</v>
      </c>
      <c r="AQ214" s="6">
        <v>40</v>
      </c>
      <c r="AR214" s="6">
        <v>40</v>
      </c>
      <c r="AS214" s="6">
        <v>91</v>
      </c>
      <c r="AT214" s="6">
        <v>28</v>
      </c>
      <c r="AU214" s="6">
        <v>55</v>
      </c>
      <c r="AV214" s="6">
        <v>62</v>
      </c>
      <c r="AW214" s="6">
        <v>25</v>
      </c>
      <c r="AX214" s="13"/>
      <c r="AY214" s="23">
        <f>IF(Form_Responses1[[#This Row],[ket_cuc]]="Không tử vong", 0, 1)</f>
        <v>0</v>
      </c>
      <c r="AZ214" s="1" t="s">
        <v>24</v>
      </c>
      <c r="BA214" s="32">
        <v>20</v>
      </c>
      <c r="BB214" s="32">
        <v>1.1145625351195815E-2</v>
      </c>
    </row>
    <row r="215" spans="1:55" ht="13" x14ac:dyDescent="0.15">
      <c r="A215" s="2" t="s">
        <v>177</v>
      </c>
      <c r="B215" s="15">
        <v>75</v>
      </c>
      <c r="C215" s="15">
        <f>IF(Form_Responses1[[#This Row],[gioi_tinh]]="Nữ", 0, 1)</f>
        <v>1</v>
      </c>
      <c r="D215" s="2" t="s">
        <v>26</v>
      </c>
      <c r="E215" s="15">
        <v>24.2</v>
      </c>
      <c r="F215" s="15">
        <f>IF(Form_Responses1[[#This Row],[dai_thao_duong]]="Không", 0, 1)</f>
        <v>0</v>
      </c>
      <c r="G215" s="2" t="s">
        <v>21</v>
      </c>
      <c r="H215" s="15">
        <f t="shared" si="6"/>
        <v>1</v>
      </c>
      <c r="I215" s="2" t="s">
        <v>22</v>
      </c>
      <c r="J215" s="15">
        <f>IF(Form_Responses1[[#This Row],[hoi_chung_vanh_man]]="Không", 0, 1)</f>
        <v>0</v>
      </c>
      <c r="K215" s="2" t="s">
        <v>21</v>
      </c>
      <c r="L215" s="15">
        <f>IF(Form_Responses1[[#This Row],[ckd]]="Không", 0, 1)</f>
        <v>0</v>
      </c>
      <c r="M215" s="2" t="s">
        <v>21</v>
      </c>
      <c r="N215" s="15">
        <f t="shared" si="7"/>
        <v>1</v>
      </c>
      <c r="O215" s="2" t="s">
        <v>22</v>
      </c>
      <c r="P215" s="15">
        <f>IF(Form_Responses1[[#This Row],[phan_loai_the_lam_sang]]="Suy tim mất bù cấp", 1,0)</f>
        <v>0</v>
      </c>
      <c r="Q215" s="15">
        <f>IF(Form_Responses1[[#This Row],[phan_loai_the_lam_sang]]="Phù phổi cấp", 1, 0)</f>
        <v>1</v>
      </c>
      <c r="R215" s="15">
        <f>IF(Form_Responses1[[#This Row],[phan_loai_the_lam_sang]]="Choáng tim", 1, 0)</f>
        <v>0</v>
      </c>
      <c r="S215" s="2" t="s">
        <v>45</v>
      </c>
      <c r="T215" s="15">
        <v>88</v>
      </c>
      <c r="U215" s="15">
        <v>140</v>
      </c>
      <c r="V215" s="15">
        <v>70</v>
      </c>
      <c r="W215" s="15">
        <f>IF(Form_Responses1[[#This Row],[hcvc]]="Không", 0, 1)</f>
        <v>0</v>
      </c>
      <c r="X215" s="2" t="s">
        <v>21</v>
      </c>
      <c r="Y215" s="15">
        <f>IF(Form_Responses1[[#This Row],[suy_ho_hap]]="Không", 0, 1)</f>
        <v>1</v>
      </c>
      <c r="Z215" s="2" t="s">
        <v>22</v>
      </c>
      <c r="AA215" s="15">
        <f>IF(Form_Responses1[[#This Row],[rung_nhi]]="Không", 0, 1)</f>
        <v>0</v>
      </c>
      <c r="AB215" s="2" t="s">
        <v>21</v>
      </c>
      <c r="AC215" s="15">
        <v>464</v>
      </c>
      <c r="AD215" s="15">
        <v>0.08</v>
      </c>
      <c r="AE215" s="15">
        <v>19.5</v>
      </c>
      <c r="AF215" s="15">
        <v>136</v>
      </c>
      <c r="AG215" s="15">
        <v>265</v>
      </c>
      <c r="AH215" s="15">
        <v>138</v>
      </c>
      <c r="AI215" s="15">
        <v>4.3</v>
      </c>
      <c r="AJ215" s="15">
        <v>16</v>
      </c>
      <c r="AK215" s="15">
        <v>1.83</v>
      </c>
      <c r="AL215" s="2" t="s">
        <v>22</v>
      </c>
      <c r="AM215" s="12"/>
      <c r="AN215" s="6">
        <f>IF(Form_Responses1[[#This Row],[NT_proBNP &gt; 35000]]="Có", 35001, Form_Responses1[[#This Row],[NT_ProBNP]])</f>
        <v>35001</v>
      </c>
      <c r="AO215" s="18">
        <f>IF(Form_Responses1[[#This Row],[NT_proBNP &gt; 35000]]="Có", 1, 0)</f>
        <v>1</v>
      </c>
      <c r="AP215" s="15">
        <v>98.1</v>
      </c>
      <c r="AQ215" s="15">
        <v>27</v>
      </c>
      <c r="AR215" s="15">
        <v>19</v>
      </c>
      <c r="AS215" s="15">
        <v>145</v>
      </c>
      <c r="AT215" s="18"/>
      <c r="AU215" s="15">
        <v>61.3</v>
      </c>
      <c r="AV215" s="15">
        <v>68.099999999999994</v>
      </c>
      <c r="AW215" s="15">
        <v>25</v>
      </c>
      <c r="AX215" s="18"/>
      <c r="AY215" s="26">
        <f>IF(Form_Responses1[[#This Row],[ket_cuc]]="Không tử vong", 0, 1)</f>
        <v>0</v>
      </c>
      <c r="AZ215" s="2" t="s">
        <v>24</v>
      </c>
      <c r="BA215" s="32">
        <v>39</v>
      </c>
      <c r="BB215" s="32">
        <v>8.2262201660487283E-2</v>
      </c>
    </row>
    <row r="216" spans="1:55" ht="13" x14ac:dyDescent="0.15">
      <c r="A216" s="1" t="s">
        <v>34</v>
      </c>
      <c r="B216" s="6">
        <v>74</v>
      </c>
      <c r="C216" s="6">
        <f>IF(Form_Responses1[[#This Row],[gioi_tinh]]="Nữ", 0, 1)</f>
        <v>1</v>
      </c>
      <c r="D216" s="1" t="s">
        <v>26</v>
      </c>
      <c r="E216" s="6">
        <v>24.98</v>
      </c>
      <c r="F216" s="6">
        <f>IF(Form_Responses1[[#This Row],[dai_thao_duong]]="Không", 0, 1)</f>
        <v>1</v>
      </c>
      <c r="G216" s="1" t="s">
        <v>22</v>
      </c>
      <c r="H216" s="6">
        <f t="shared" si="6"/>
        <v>1</v>
      </c>
      <c r="I216" s="1" t="s">
        <v>22</v>
      </c>
      <c r="J216" s="6">
        <f>IF(Form_Responses1[[#This Row],[hoi_chung_vanh_man]]="Không", 0, 1)</f>
        <v>1</v>
      </c>
      <c r="K216" s="1" t="s">
        <v>22</v>
      </c>
      <c r="L216" s="6">
        <f>IF(Form_Responses1[[#This Row],[ckd]]="Không", 0, 1)</f>
        <v>0</v>
      </c>
      <c r="M216" s="1" t="s">
        <v>21</v>
      </c>
      <c r="N216" s="6">
        <f t="shared" si="7"/>
        <v>0</v>
      </c>
      <c r="O216" s="1" t="s">
        <v>21</v>
      </c>
      <c r="P216" s="6">
        <f>IF(Form_Responses1[[#This Row],[phan_loai_the_lam_sang]]="Suy tim mất bù cấp", 1,0)</f>
        <v>1</v>
      </c>
      <c r="Q216" s="6">
        <f>IF(Form_Responses1[[#This Row],[phan_loai_the_lam_sang]]="Phù phổi cấp", 1, 0)</f>
        <v>0</v>
      </c>
      <c r="R216" s="6">
        <f>IF(Form_Responses1[[#This Row],[phan_loai_the_lam_sang]]="Choáng tim", 1, 0)</f>
        <v>0</v>
      </c>
      <c r="S216" s="1" t="s">
        <v>23</v>
      </c>
      <c r="T216" s="6">
        <v>137</v>
      </c>
      <c r="U216" s="6">
        <v>120</v>
      </c>
      <c r="V216" s="6">
        <v>90</v>
      </c>
      <c r="W216" s="6">
        <f>IF(Form_Responses1[[#This Row],[hcvc]]="Không", 0, 1)</f>
        <v>0</v>
      </c>
      <c r="X216" s="1" t="s">
        <v>21</v>
      </c>
      <c r="Y216" s="6">
        <f>IF(Form_Responses1[[#This Row],[suy_ho_hap]]="Không", 0, 1)</f>
        <v>0</v>
      </c>
      <c r="Z216" s="1" t="s">
        <v>21</v>
      </c>
      <c r="AA216" s="6">
        <f>IF(Form_Responses1[[#This Row],[rung_nhi]]="Không", 0, 1)</f>
        <v>0</v>
      </c>
      <c r="AB216" s="1" t="s">
        <v>21</v>
      </c>
      <c r="AC216" s="6">
        <v>422</v>
      </c>
      <c r="AD216" s="6">
        <v>0.08</v>
      </c>
      <c r="AE216" s="6">
        <v>7.72</v>
      </c>
      <c r="AF216" s="6">
        <v>138</v>
      </c>
      <c r="AG216" s="6">
        <v>240</v>
      </c>
      <c r="AH216" s="6">
        <v>126</v>
      </c>
      <c r="AI216" s="6">
        <v>3.3</v>
      </c>
      <c r="AJ216" s="6">
        <v>10.7</v>
      </c>
      <c r="AK216" s="6">
        <v>1.22</v>
      </c>
      <c r="AL216" s="1" t="s">
        <v>21</v>
      </c>
      <c r="AM216" s="1">
        <v>11530.7</v>
      </c>
      <c r="AN216" s="6">
        <f>IF(Form_Responses1[[#This Row],[NT_proBNP &gt; 35000]]="Có", 35001, Form_Responses1[[#This Row],[NT_ProBNP]])</f>
        <v>11530.7</v>
      </c>
      <c r="AO216" s="6">
        <f>IF(Form_Responses1[[#This Row],[NT_proBNP &gt; 35000]]="Có", 1, 0)</f>
        <v>0</v>
      </c>
      <c r="AP216" s="6">
        <v>121.01</v>
      </c>
      <c r="AQ216" s="6">
        <v>151</v>
      </c>
      <c r="AR216" s="6">
        <v>114</v>
      </c>
      <c r="AS216" s="6">
        <v>156</v>
      </c>
      <c r="AT216" s="6">
        <v>28</v>
      </c>
      <c r="AU216" s="6">
        <v>53</v>
      </c>
      <c r="AV216" s="6">
        <v>60</v>
      </c>
      <c r="AW216" s="6">
        <v>25</v>
      </c>
      <c r="AX216" s="13"/>
      <c r="AY216" s="23">
        <f>IF(Form_Responses1[[#This Row],[ket_cuc]]="Không tử vong", 0, 1)</f>
        <v>0</v>
      </c>
      <c r="AZ216" s="1" t="s">
        <v>24</v>
      </c>
      <c r="BA216" s="32">
        <v>49</v>
      </c>
      <c r="BB216" s="32">
        <v>9.1516287322703227E-2</v>
      </c>
    </row>
    <row r="217" spans="1:55" ht="13" x14ac:dyDescent="0.15">
      <c r="A217" s="2" t="s">
        <v>281</v>
      </c>
      <c r="B217" s="15">
        <v>78</v>
      </c>
      <c r="C217" s="15">
        <f>IF(Form_Responses1[[#This Row],[gioi_tinh]]="Nữ", 0, 1)</f>
        <v>1</v>
      </c>
      <c r="D217" s="2" t="s">
        <v>26</v>
      </c>
      <c r="E217" s="15">
        <v>22</v>
      </c>
      <c r="F217" s="15">
        <f>IF(Form_Responses1[[#This Row],[dai_thao_duong]]="Không", 0, 1)</f>
        <v>0</v>
      </c>
      <c r="G217" s="2" t="s">
        <v>21</v>
      </c>
      <c r="H217" s="15">
        <f t="shared" si="6"/>
        <v>1</v>
      </c>
      <c r="I217" s="2" t="s">
        <v>22</v>
      </c>
      <c r="J217" s="15">
        <f>IF(Form_Responses1[[#This Row],[hoi_chung_vanh_man]]="Không", 0, 1)</f>
        <v>0</v>
      </c>
      <c r="K217" s="2" t="s">
        <v>21</v>
      </c>
      <c r="L217" s="15">
        <f>IF(Form_Responses1[[#This Row],[ckd]]="Không", 0, 1)</f>
        <v>0</v>
      </c>
      <c r="M217" s="2" t="s">
        <v>21</v>
      </c>
      <c r="N217" s="15">
        <f t="shared" si="7"/>
        <v>0</v>
      </c>
      <c r="O217" s="2" t="s">
        <v>21</v>
      </c>
      <c r="P217" s="15">
        <f>IF(Form_Responses1[[#This Row],[phan_loai_the_lam_sang]]="Suy tim mất bù cấp", 1,0)</f>
        <v>1</v>
      </c>
      <c r="Q217" s="15">
        <f>IF(Form_Responses1[[#This Row],[phan_loai_the_lam_sang]]="Phù phổi cấp", 1, 0)</f>
        <v>0</v>
      </c>
      <c r="R217" s="15">
        <f>IF(Form_Responses1[[#This Row],[phan_loai_the_lam_sang]]="Choáng tim", 1, 0)</f>
        <v>0</v>
      </c>
      <c r="S217" s="2" t="s">
        <v>23</v>
      </c>
      <c r="T217" s="15">
        <v>138</v>
      </c>
      <c r="U217" s="15">
        <v>130</v>
      </c>
      <c r="V217" s="15">
        <v>90</v>
      </c>
      <c r="W217" s="15">
        <f>IF(Form_Responses1[[#This Row],[hcvc]]="Không", 0, 1)</f>
        <v>0</v>
      </c>
      <c r="X217" s="2" t="s">
        <v>21</v>
      </c>
      <c r="Y217" s="15">
        <f>IF(Form_Responses1[[#This Row],[suy_ho_hap]]="Không", 0, 1)</f>
        <v>1</v>
      </c>
      <c r="Z217" s="2" t="s">
        <v>22</v>
      </c>
      <c r="AA217" s="15">
        <f>IF(Form_Responses1[[#This Row],[rung_nhi]]="Không", 0, 1)</f>
        <v>0</v>
      </c>
      <c r="AB217" s="2" t="s">
        <v>21</v>
      </c>
      <c r="AC217" s="15">
        <v>304</v>
      </c>
      <c r="AD217" s="15">
        <v>0.06</v>
      </c>
      <c r="AE217" s="15">
        <v>8.1999999999999993</v>
      </c>
      <c r="AF217" s="15">
        <v>148</v>
      </c>
      <c r="AG217" s="15">
        <v>245</v>
      </c>
      <c r="AH217" s="15">
        <v>139</v>
      </c>
      <c r="AI217" s="15">
        <v>4.7</v>
      </c>
      <c r="AJ217" s="15">
        <v>31</v>
      </c>
      <c r="AK217" s="15">
        <v>1.47</v>
      </c>
      <c r="AL217" s="2" t="s">
        <v>21</v>
      </c>
      <c r="AM217" s="2">
        <v>15279.32</v>
      </c>
      <c r="AN217" s="6">
        <f>IF(Form_Responses1[[#This Row],[NT_proBNP &gt; 35000]]="Có", 35001, Form_Responses1[[#This Row],[NT_ProBNP]])</f>
        <v>15279.32</v>
      </c>
      <c r="AO217" s="15">
        <f>IF(Form_Responses1[[#This Row],[NT_proBNP &gt; 35000]]="Có", 1, 0)</f>
        <v>0</v>
      </c>
      <c r="AP217" s="15">
        <v>287.39999999999998</v>
      </c>
      <c r="AQ217" s="15">
        <v>157</v>
      </c>
      <c r="AR217" s="15">
        <v>100</v>
      </c>
      <c r="AS217" s="15">
        <v>102</v>
      </c>
      <c r="AT217" s="27">
        <v>41.7</v>
      </c>
      <c r="AU217" s="15">
        <v>37.4</v>
      </c>
      <c r="AV217" s="15">
        <v>52.6</v>
      </c>
      <c r="AW217" s="15">
        <v>25</v>
      </c>
      <c r="AX217" s="15">
        <v>52</v>
      </c>
      <c r="AY217" s="22">
        <f>IF(Form_Responses1[[#This Row],[ket_cuc]]="Không tử vong", 0, 1)</f>
        <v>0</v>
      </c>
      <c r="AZ217" s="2" t="s">
        <v>24</v>
      </c>
      <c r="BA217" s="32">
        <v>47</v>
      </c>
      <c r="BB217" s="32">
        <v>0.14974531283372836</v>
      </c>
    </row>
    <row r="218" spans="1:55" ht="13" x14ac:dyDescent="0.15">
      <c r="A218" s="1" t="s">
        <v>19</v>
      </c>
      <c r="B218" s="6">
        <v>70</v>
      </c>
      <c r="C218" s="6">
        <f>IF(Form_Responses1[[#This Row],[gioi_tinh]]="Nữ", 0, 1)</f>
        <v>0</v>
      </c>
      <c r="D218" s="1" t="s">
        <v>20</v>
      </c>
      <c r="E218" s="6">
        <v>22.2</v>
      </c>
      <c r="F218" s="6">
        <f>IF(Form_Responses1[[#This Row],[dai_thao_duong]]="Không", 0, 1)</f>
        <v>0</v>
      </c>
      <c r="G218" s="1" t="s">
        <v>21</v>
      </c>
      <c r="H218" s="6">
        <f t="shared" si="6"/>
        <v>1</v>
      </c>
      <c r="I218" s="1" t="s">
        <v>22</v>
      </c>
      <c r="J218" s="6">
        <f>IF(Form_Responses1[[#This Row],[hoi_chung_vanh_man]]="Không", 0, 1)</f>
        <v>0</v>
      </c>
      <c r="K218" s="1" t="s">
        <v>21</v>
      </c>
      <c r="L218" s="6">
        <f>IF(Form_Responses1[[#This Row],[ckd]]="Không", 0, 1)</f>
        <v>0</v>
      </c>
      <c r="M218" s="1" t="s">
        <v>21</v>
      </c>
      <c r="N218" s="6">
        <f t="shared" si="7"/>
        <v>0</v>
      </c>
      <c r="O218" s="1" t="s">
        <v>21</v>
      </c>
      <c r="P218" s="6">
        <f>IF(Form_Responses1[[#This Row],[phan_loai_the_lam_sang]]="Suy tim mất bù cấp", 1,0)</f>
        <v>1</v>
      </c>
      <c r="Q218" s="6">
        <f>IF(Form_Responses1[[#This Row],[phan_loai_the_lam_sang]]="Phù phổi cấp", 1, 0)</f>
        <v>0</v>
      </c>
      <c r="R218" s="6">
        <f>IF(Form_Responses1[[#This Row],[phan_loai_the_lam_sang]]="Choáng tim", 1, 0)</f>
        <v>0</v>
      </c>
      <c r="S218" s="1" t="s">
        <v>23</v>
      </c>
      <c r="T218" s="6">
        <v>68</v>
      </c>
      <c r="U218" s="6">
        <v>100</v>
      </c>
      <c r="V218" s="6">
        <v>60</v>
      </c>
      <c r="W218" s="6">
        <f>IF(Form_Responses1[[#This Row],[hcvc]]="Không", 0, 1)</f>
        <v>0</v>
      </c>
      <c r="X218" s="1" t="s">
        <v>21</v>
      </c>
      <c r="Y218" s="6">
        <f>IF(Form_Responses1[[#This Row],[suy_ho_hap]]="Không", 0, 1)</f>
        <v>0</v>
      </c>
      <c r="Z218" s="1" t="s">
        <v>21</v>
      </c>
      <c r="AA218" s="6">
        <f>IF(Form_Responses1[[#This Row],[rung_nhi]]="Không", 0, 1)</f>
        <v>0</v>
      </c>
      <c r="AB218" s="11" t="s">
        <v>21</v>
      </c>
      <c r="AC218" s="6">
        <v>500</v>
      </c>
      <c r="AD218" s="6">
        <v>0.1</v>
      </c>
      <c r="AE218" s="6">
        <v>8.75</v>
      </c>
      <c r="AF218" s="6">
        <v>96</v>
      </c>
      <c r="AG218" s="6">
        <v>480</v>
      </c>
      <c r="AH218" s="6">
        <v>135</v>
      </c>
      <c r="AI218" s="6">
        <v>2.6</v>
      </c>
      <c r="AJ218" s="6">
        <v>5.14</v>
      </c>
      <c r="AK218" s="6">
        <v>0.72</v>
      </c>
      <c r="AL218" s="1" t="s">
        <v>21</v>
      </c>
      <c r="AM218" s="1">
        <v>27425.7</v>
      </c>
      <c r="AN218" s="6">
        <f>IF(Form_Responses1[[#This Row],[NT_proBNP &gt; 35000]]="Có", 35001, Form_Responses1[[#This Row],[NT_ProBNP]])</f>
        <v>27425.7</v>
      </c>
      <c r="AO218" s="6">
        <f>IF(Form_Responses1[[#This Row],[NT_proBNP &gt; 35000]]="Có", 1, 0)</f>
        <v>0</v>
      </c>
      <c r="AP218" s="6">
        <v>337.68</v>
      </c>
      <c r="AQ218" s="6">
        <v>21</v>
      </c>
      <c r="AR218" s="6">
        <v>13</v>
      </c>
      <c r="AS218" s="6">
        <v>141</v>
      </c>
      <c r="AT218" s="6">
        <v>33</v>
      </c>
      <c r="AU218" s="6">
        <v>50</v>
      </c>
      <c r="AV218" s="6">
        <v>59</v>
      </c>
      <c r="AW218" s="6">
        <v>25</v>
      </c>
      <c r="AX218" s="13"/>
      <c r="AY218" s="23">
        <f>IF(Form_Responses1[[#This Row],[ket_cuc]]="Không tử vong", 0, 1)</f>
        <v>0</v>
      </c>
      <c r="AZ218" s="1" t="s">
        <v>24</v>
      </c>
      <c r="BA218" s="32">
        <v>41</v>
      </c>
      <c r="BB218" s="32">
        <v>5.436006979047233E-2</v>
      </c>
    </row>
    <row r="219" spans="1:55" ht="13" x14ac:dyDescent="0.15">
      <c r="A219" s="2" t="s">
        <v>238</v>
      </c>
      <c r="B219" s="15">
        <v>43</v>
      </c>
      <c r="C219" s="15">
        <f>IF(Form_Responses1[[#This Row],[gioi_tinh]]="Nữ", 0, 1)</f>
        <v>1</v>
      </c>
      <c r="D219" s="2" t="s">
        <v>26</v>
      </c>
      <c r="E219" s="15">
        <v>24.2</v>
      </c>
      <c r="F219" s="15">
        <f>IF(Form_Responses1[[#This Row],[dai_thao_duong]]="Không", 0, 1)</f>
        <v>1</v>
      </c>
      <c r="G219" s="2" t="s">
        <v>22</v>
      </c>
      <c r="H219" s="15">
        <f t="shared" si="6"/>
        <v>1</v>
      </c>
      <c r="I219" s="2" t="s">
        <v>22</v>
      </c>
      <c r="J219" s="15">
        <f>IF(Form_Responses1[[#This Row],[hoi_chung_vanh_man]]="Không", 0, 1)</f>
        <v>0</v>
      </c>
      <c r="K219" s="2" t="s">
        <v>21</v>
      </c>
      <c r="L219" s="15">
        <f>IF(Form_Responses1[[#This Row],[ckd]]="Không", 0, 1)</f>
        <v>0</v>
      </c>
      <c r="M219" s="2" t="s">
        <v>21</v>
      </c>
      <c r="N219" s="15">
        <f t="shared" si="7"/>
        <v>0</v>
      </c>
      <c r="O219" s="2" t="s">
        <v>21</v>
      </c>
      <c r="P219" s="15">
        <f>IF(Form_Responses1[[#This Row],[phan_loai_the_lam_sang]]="Suy tim mất bù cấp", 1,0)</f>
        <v>1</v>
      </c>
      <c r="Q219" s="15">
        <f>IF(Form_Responses1[[#This Row],[phan_loai_the_lam_sang]]="Phù phổi cấp", 1, 0)</f>
        <v>0</v>
      </c>
      <c r="R219" s="15">
        <f>IF(Form_Responses1[[#This Row],[phan_loai_the_lam_sang]]="Choáng tim", 1, 0)</f>
        <v>0</v>
      </c>
      <c r="S219" s="2" t="s">
        <v>23</v>
      </c>
      <c r="T219" s="15">
        <v>120</v>
      </c>
      <c r="U219" s="15">
        <v>100</v>
      </c>
      <c r="V219" s="15">
        <v>60</v>
      </c>
      <c r="W219" s="15">
        <f>IF(Form_Responses1[[#This Row],[hcvc]]="Không", 0, 1)</f>
        <v>0</v>
      </c>
      <c r="X219" s="2" t="s">
        <v>21</v>
      </c>
      <c r="Y219" s="15">
        <f>IF(Form_Responses1[[#This Row],[suy_ho_hap]]="Không", 0, 1)</f>
        <v>1</v>
      </c>
      <c r="Z219" s="2" t="s">
        <v>22</v>
      </c>
      <c r="AA219" s="15">
        <f>IF(Form_Responses1[[#This Row],[rung_nhi]]="Không", 0, 1)</f>
        <v>0</v>
      </c>
      <c r="AB219" s="2" t="s">
        <v>21</v>
      </c>
      <c r="AC219" s="15">
        <v>453</v>
      </c>
      <c r="AD219" s="15">
        <v>0.08</v>
      </c>
      <c r="AE219" s="15">
        <v>6.16</v>
      </c>
      <c r="AF219" s="15">
        <v>133</v>
      </c>
      <c r="AG219" s="15">
        <v>268</v>
      </c>
      <c r="AH219" s="15">
        <v>137</v>
      </c>
      <c r="AI219" s="15">
        <v>3.7</v>
      </c>
      <c r="AJ219" s="15">
        <v>22</v>
      </c>
      <c r="AK219" s="15">
        <v>0.56999999999999995</v>
      </c>
      <c r="AL219" s="2" t="s">
        <v>21</v>
      </c>
      <c r="AM219" s="2">
        <v>1197</v>
      </c>
      <c r="AN219" s="6">
        <f>IF(Form_Responses1[[#This Row],[NT_proBNP &gt; 35000]]="Có", 35001, Form_Responses1[[#This Row],[NT_ProBNP]])</f>
        <v>1197</v>
      </c>
      <c r="AO219" s="15">
        <f>IF(Form_Responses1[[#This Row],[NT_proBNP &gt; 35000]]="Có", 1, 0)</f>
        <v>0</v>
      </c>
      <c r="AP219" s="15">
        <v>521</v>
      </c>
      <c r="AQ219" s="15">
        <v>65</v>
      </c>
      <c r="AR219" s="15">
        <v>68</v>
      </c>
      <c r="AS219" s="15">
        <v>292</v>
      </c>
      <c r="AT219" s="18"/>
      <c r="AU219" s="15">
        <v>57</v>
      </c>
      <c r="AV219" s="15">
        <v>65</v>
      </c>
      <c r="AW219" s="15">
        <v>25</v>
      </c>
      <c r="AX219" s="15">
        <v>40</v>
      </c>
      <c r="AY219" s="22">
        <f>IF(Form_Responses1[[#This Row],[ket_cuc]]="Không tử vong", 0, 1)</f>
        <v>0</v>
      </c>
      <c r="AZ219" s="2" t="s">
        <v>24</v>
      </c>
      <c r="BA219" s="32">
        <v>43</v>
      </c>
      <c r="BB219" s="32">
        <v>6.944797979595542E-2</v>
      </c>
    </row>
    <row r="220" spans="1:55" ht="13" x14ac:dyDescent="0.15">
      <c r="A220" s="1" t="s">
        <v>272</v>
      </c>
      <c r="B220" s="6">
        <v>70</v>
      </c>
      <c r="C220" s="6">
        <f>IF(Form_Responses1[[#This Row],[gioi_tinh]]="Nữ", 0, 1)</f>
        <v>0</v>
      </c>
      <c r="D220" s="1" t="s">
        <v>20</v>
      </c>
      <c r="E220" s="6">
        <v>20</v>
      </c>
      <c r="F220" s="6">
        <f>IF(Form_Responses1[[#This Row],[dai_thao_duong]]="Không", 0, 1)</f>
        <v>1</v>
      </c>
      <c r="G220" s="1" t="s">
        <v>22</v>
      </c>
      <c r="H220" s="6">
        <f t="shared" si="6"/>
        <v>1</v>
      </c>
      <c r="I220" s="1" t="s">
        <v>22</v>
      </c>
      <c r="J220" s="6">
        <f>IF(Form_Responses1[[#This Row],[hoi_chung_vanh_man]]="Không", 0, 1)</f>
        <v>0</v>
      </c>
      <c r="K220" s="1" t="s">
        <v>21</v>
      </c>
      <c r="L220" s="6">
        <f>IF(Form_Responses1[[#This Row],[ckd]]="Không", 0, 1)</f>
        <v>1</v>
      </c>
      <c r="M220" s="1" t="s">
        <v>22</v>
      </c>
      <c r="N220" s="6">
        <f t="shared" si="7"/>
        <v>0</v>
      </c>
      <c r="O220" s="1" t="s">
        <v>21</v>
      </c>
      <c r="P220" s="6">
        <f>IF(Form_Responses1[[#This Row],[phan_loai_the_lam_sang]]="Suy tim mất bù cấp", 1,0)</f>
        <v>1</v>
      </c>
      <c r="Q220" s="6">
        <f>IF(Form_Responses1[[#This Row],[phan_loai_the_lam_sang]]="Phù phổi cấp", 1, 0)</f>
        <v>0</v>
      </c>
      <c r="R220" s="6">
        <f>IF(Form_Responses1[[#This Row],[phan_loai_the_lam_sang]]="Choáng tim", 1, 0)</f>
        <v>0</v>
      </c>
      <c r="S220" s="1" t="s">
        <v>23</v>
      </c>
      <c r="T220" s="6">
        <v>94</v>
      </c>
      <c r="U220" s="6">
        <v>120</v>
      </c>
      <c r="V220" s="6">
        <v>80</v>
      </c>
      <c r="W220" s="6">
        <f>IF(Form_Responses1[[#This Row],[hcvc]]="Không", 0, 1)</f>
        <v>1</v>
      </c>
      <c r="X220" s="1" t="s">
        <v>22</v>
      </c>
      <c r="Y220" s="6">
        <f>IF(Form_Responses1[[#This Row],[suy_ho_hap]]="Không", 0, 1)</f>
        <v>1</v>
      </c>
      <c r="Z220" s="1" t="s">
        <v>22</v>
      </c>
      <c r="AA220" s="6">
        <f>IF(Form_Responses1[[#This Row],[rung_nhi]]="Không", 0, 1)</f>
        <v>0</v>
      </c>
      <c r="AB220" s="1" t="s">
        <v>21</v>
      </c>
      <c r="AC220" s="6">
        <v>485</v>
      </c>
      <c r="AD220" s="6">
        <v>0.12</v>
      </c>
      <c r="AE220" s="6">
        <v>17.5</v>
      </c>
      <c r="AF220" s="6">
        <v>81</v>
      </c>
      <c r="AG220" s="6">
        <v>275</v>
      </c>
      <c r="AH220" s="6">
        <v>130</v>
      </c>
      <c r="AI220" s="6">
        <v>5</v>
      </c>
      <c r="AJ220" s="6">
        <v>67</v>
      </c>
      <c r="AK220" s="6">
        <v>3.3</v>
      </c>
      <c r="AL220" s="1" t="s">
        <v>22</v>
      </c>
      <c r="AM220" s="10"/>
      <c r="AN220" s="6">
        <f>IF(Form_Responses1[[#This Row],[NT_proBNP &gt; 35000]]="Có", 35001, Form_Responses1[[#This Row],[NT_ProBNP]])</f>
        <v>35001</v>
      </c>
      <c r="AO220" s="13">
        <f>IF(Form_Responses1[[#This Row],[NT_proBNP &gt; 35000]]="Có", 1, 0)</f>
        <v>1</v>
      </c>
      <c r="AP220" s="6">
        <v>1122.8</v>
      </c>
      <c r="AQ220" s="6">
        <v>94</v>
      </c>
      <c r="AR220" s="6">
        <v>137</v>
      </c>
      <c r="AS220" s="6">
        <v>580</v>
      </c>
      <c r="AU220" s="27">
        <v>54.6</v>
      </c>
      <c r="AV220" s="6">
        <v>60.1</v>
      </c>
      <c r="AW220" s="6">
        <v>25</v>
      </c>
      <c r="AX220" s="13"/>
      <c r="AY220" s="23">
        <f>IF(Form_Responses1[[#This Row],[ket_cuc]]="Không tử vong", 0, 1)</f>
        <v>0</v>
      </c>
      <c r="AZ220" s="1" t="s">
        <v>24</v>
      </c>
      <c r="BA220" s="32">
        <v>54</v>
      </c>
      <c r="BB220" s="32">
        <v>0.1696372950514061</v>
      </c>
    </row>
    <row r="221" spans="1:55" ht="13" x14ac:dyDescent="0.15">
      <c r="A221" s="2" t="s">
        <v>240</v>
      </c>
      <c r="B221" s="15">
        <v>70</v>
      </c>
      <c r="C221" s="15">
        <f>IF(Form_Responses1[[#This Row],[gioi_tinh]]="Nữ", 0, 1)</f>
        <v>0</v>
      </c>
      <c r="D221" s="2" t="s">
        <v>20</v>
      </c>
      <c r="E221" s="15">
        <v>19.5</v>
      </c>
      <c r="F221" s="15">
        <f>IF(Form_Responses1[[#This Row],[dai_thao_duong]]="Không", 0, 1)</f>
        <v>1</v>
      </c>
      <c r="G221" s="2" t="s">
        <v>22</v>
      </c>
      <c r="H221" s="15">
        <f t="shared" si="6"/>
        <v>1</v>
      </c>
      <c r="I221" s="2" t="s">
        <v>22</v>
      </c>
      <c r="J221" s="15">
        <f>IF(Form_Responses1[[#This Row],[hoi_chung_vanh_man]]="Không", 0, 1)</f>
        <v>1</v>
      </c>
      <c r="K221" s="2" t="s">
        <v>22</v>
      </c>
      <c r="L221" s="15">
        <f>IF(Form_Responses1[[#This Row],[ckd]]="Không", 0, 1)</f>
        <v>0</v>
      </c>
      <c r="M221" s="2" t="s">
        <v>21</v>
      </c>
      <c r="N221" s="15">
        <f t="shared" si="7"/>
        <v>0</v>
      </c>
      <c r="O221" s="2" t="s">
        <v>21</v>
      </c>
      <c r="P221" s="15">
        <f>IF(Form_Responses1[[#This Row],[phan_loai_the_lam_sang]]="Suy tim mất bù cấp", 1,0)</f>
        <v>1</v>
      </c>
      <c r="Q221" s="15">
        <f>IF(Form_Responses1[[#This Row],[phan_loai_the_lam_sang]]="Phù phổi cấp", 1, 0)</f>
        <v>0</v>
      </c>
      <c r="R221" s="15">
        <f>IF(Form_Responses1[[#This Row],[phan_loai_the_lam_sang]]="Choáng tim", 1, 0)</f>
        <v>0</v>
      </c>
      <c r="S221" s="2" t="s">
        <v>23</v>
      </c>
      <c r="T221" s="15">
        <v>88</v>
      </c>
      <c r="U221" s="15">
        <v>110</v>
      </c>
      <c r="V221" s="15">
        <v>70</v>
      </c>
      <c r="W221" s="15">
        <f>IF(Form_Responses1[[#This Row],[hcvc]]="Không", 0, 1)</f>
        <v>1</v>
      </c>
      <c r="X221" s="2" t="s">
        <v>22</v>
      </c>
      <c r="Y221" s="15">
        <f>IF(Form_Responses1[[#This Row],[suy_ho_hap]]="Không", 0, 1)</f>
        <v>1</v>
      </c>
      <c r="Z221" s="2" t="s">
        <v>22</v>
      </c>
      <c r="AA221" s="15">
        <f>IF(Form_Responses1[[#This Row],[rung_nhi]]="Không", 0, 1)</f>
        <v>0</v>
      </c>
      <c r="AB221" s="2" t="s">
        <v>21</v>
      </c>
      <c r="AC221" s="15">
        <v>430</v>
      </c>
      <c r="AD221" s="15">
        <v>0.08</v>
      </c>
      <c r="AE221" s="15">
        <v>10.4</v>
      </c>
      <c r="AF221" s="15">
        <v>118</v>
      </c>
      <c r="AG221" s="15">
        <v>349</v>
      </c>
      <c r="AH221" s="15">
        <v>138</v>
      </c>
      <c r="AI221" s="15">
        <v>4.0999999999999996</v>
      </c>
      <c r="AJ221" s="15">
        <v>7.9</v>
      </c>
      <c r="AK221" s="15">
        <v>1.06</v>
      </c>
      <c r="AL221" s="2" t="s">
        <v>21</v>
      </c>
      <c r="AM221" s="2">
        <v>11790.99</v>
      </c>
      <c r="AN221" s="6">
        <f>IF(Form_Responses1[[#This Row],[NT_proBNP &gt; 35000]]="Có", 35001, Form_Responses1[[#This Row],[NT_ProBNP]])</f>
        <v>11790.99</v>
      </c>
      <c r="AO221" s="15">
        <f>IF(Form_Responses1[[#This Row],[NT_proBNP &gt; 35000]]="Có", 1, 0)</f>
        <v>0</v>
      </c>
      <c r="AP221" s="15">
        <v>18803.5</v>
      </c>
      <c r="AQ221" s="15">
        <v>71</v>
      </c>
      <c r="AR221" s="15">
        <v>32</v>
      </c>
      <c r="AS221" s="15">
        <v>306</v>
      </c>
      <c r="AT221" s="18"/>
      <c r="AU221" s="15">
        <v>39</v>
      </c>
      <c r="AV221" s="15">
        <v>46</v>
      </c>
      <c r="AW221" s="15">
        <v>25</v>
      </c>
      <c r="AX221" s="15">
        <v>22</v>
      </c>
      <c r="AY221" s="22">
        <f>IF(Form_Responses1[[#This Row],[ket_cuc]]="Không tử vong", 0, 1)</f>
        <v>0</v>
      </c>
      <c r="AZ221" s="2" t="s">
        <v>24</v>
      </c>
      <c r="BA221" s="32">
        <v>41</v>
      </c>
      <c r="BB221" s="32">
        <v>6.1357342741202886E-2</v>
      </c>
    </row>
    <row r="222" spans="1:55" ht="13" x14ac:dyDescent="0.15">
      <c r="A222" s="1" t="s">
        <v>123</v>
      </c>
      <c r="B222" s="6">
        <v>83</v>
      </c>
      <c r="C222" s="6">
        <f>IF(Form_Responses1[[#This Row],[gioi_tinh]]="Nữ", 0, 1)</f>
        <v>1</v>
      </c>
      <c r="D222" s="1" t="s">
        <v>26</v>
      </c>
      <c r="E222" s="6">
        <v>18.600000000000001</v>
      </c>
      <c r="F222" s="6">
        <f>IF(Form_Responses1[[#This Row],[dai_thao_duong]]="Không", 0, 1)</f>
        <v>1</v>
      </c>
      <c r="G222" s="1" t="s">
        <v>22</v>
      </c>
      <c r="H222" s="6">
        <f t="shared" si="6"/>
        <v>1</v>
      </c>
      <c r="I222" s="1" t="s">
        <v>22</v>
      </c>
      <c r="J222" s="6">
        <f>IF(Form_Responses1[[#This Row],[hoi_chung_vanh_man]]="Không", 0, 1)</f>
        <v>0</v>
      </c>
      <c r="K222" s="1" t="s">
        <v>21</v>
      </c>
      <c r="L222" s="6">
        <f>IF(Form_Responses1[[#This Row],[ckd]]="Không", 0, 1)</f>
        <v>0</v>
      </c>
      <c r="M222" s="1" t="s">
        <v>21</v>
      </c>
      <c r="N222" s="6">
        <f t="shared" si="7"/>
        <v>0</v>
      </c>
      <c r="O222" s="1" t="s">
        <v>21</v>
      </c>
      <c r="P222" s="6">
        <f>IF(Form_Responses1[[#This Row],[phan_loai_the_lam_sang]]="Suy tim mất bù cấp", 1,0)</f>
        <v>1</v>
      </c>
      <c r="Q222" s="6">
        <f>IF(Form_Responses1[[#This Row],[phan_loai_the_lam_sang]]="Phù phổi cấp", 1, 0)</f>
        <v>0</v>
      </c>
      <c r="R222" s="6">
        <f>IF(Form_Responses1[[#This Row],[phan_loai_the_lam_sang]]="Choáng tim", 1, 0)</f>
        <v>0</v>
      </c>
      <c r="S222" s="1" t="s">
        <v>23</v>
      </c>
      <c r="T222" s="6">
        <v>106</v>
      </c>
      <c r="U222" s="6">
        <v>110</v>
      </c>
      <c r="V222" s="6">
        <v>70</v>
      </c>
      <c r="W222" s="6">
        <f>IF(Form_Responses1[[#This Row],[hcvc]]="Không", 0, 1)</f>
        <v>1</v>
      </c>
      <c r="X222" s="1" t="s">
        <v>22</v>
      </c>
      <c r="Y222" s="6">
        <f>IF(Form_Responses1[[#This Row],[suy_ho_hap]]="Không", 0, 1)</f>
        <v>1</v>
      </c>
      <c r="Z222" s="1" t="s">
        <v>22</v>
      </c>
      <c r="AA222" s="6">
        <f>IF(Form_Responses1[[#This Row],[rung_nhi]]="Không", 0, 1)</f>
        <v>0</v>
      </c>
      <c r="AB222" s="1" t="s">
        <v>21</v>
      </c>
      <c r="AC222" s="6">
        <v>499</v>
      </c>
      <c r="AD222" s="6">
        <v>0.08</v>
      </c>
      <c r="AE222" s="6">
        <v>18.2</v>
      </c>
      <c r="AF222" s="6">
        <v>98</v>
      </c>
      <c r="AG222" s="6">
        <v>240</v>
      </c>
      <c r="AH222" s="6">
        <v>133</v>
      </c>
      <c r="AI222" s="6">
        <v>4.4000000000000004</v>
      </c>
      <c r="AJ222" s="6">
        <v>14.5</v>
      </c>
      <c r="AK222" s="6">
        <v>2.0299999999999998</v>
      </c>
      <c r="AL222" s="1" t="s">
        <v>22</v>
      </c>
      <c r="AM222" s="10"/>
      <c r="AN222" s="6">
        <f>IF(Form_Responses1[[#This Row],[NT_proBNP &gt; 35000]]="Có", 35001, Form_Responses1[[#This Row],[NT_ProBNP]])</f>
        <v>35001</v>
      </c>
      <c r="AO222" s="13">
        <f>IF(Form_Responses1[[#This Row],[NT_proBNP &gt; 35000]]="Có", 1, 0)</f>
        <v>1</v>
      </c>
      <c r="AP222" s="6">
        <v>35297.800000000003</v>
      </c>
      <c r="AQ222" s="6">
        <v>244</v>
      </c>
      <c r="AR222" s="6">
        <v>114</v>
      </c>
      <c r="AS222" s="6">
        <v>400</v>
      </c>
      <c r="AT222" s="6">
        <v>36.4</v>
      </c>
      <c r="AU222" s="6">
        <v>46.8</v>
      </c>
      <c r="AV222" s="6">
        <v>50.4</v>
      </c>
      <c r="AW222" s="6">
        <v>25</v>
      </c>
      <c r="AX222" s="6">
        <v>40</v>
      </c>
      <c r="AY222" s="24">
        <f>IF(Form_Responses1[[#This Row],[ket_cuc]]="Không tử vong", 0, 1)</f>
        <v>1</v>
      </c>
      <c r="AZ222" s="1" t="s">
        <v>29</v>
      </c>
      <c r="BA222" s="32">
        <v>52</v>
      </c>
      <c r="BB222" s="32">
        <v>0.12157491188368823</v>
      </c>
    </row>
    <row r="223" spans="1:55" ht="13" x14ac:dyDescent="0.15">
      <c r="A223" s="7" t="s">
        <v>94</v>
      </c>
      <c r="B223" s="16">
        <v>49</v>
      </c>
      <c r="C223" s="16">
        <f>IF(Form_Responses1[[#This Row],[gioi_tinh]]="Nữ", 0, 1)</f>
        <v>0</v>
      </c>
      <c r="D223" s="7" t="s">
        <v>20</v>
      </c>
      <c r="E223" s="16">
        <v>23</v>
      </c>
      <c r="F223" s="16">
        <f>IF(Form_Responses1[[#This Row],[dai_thao_duong]]="Không", 0, 1)</f>
        <v>0</v>
      </c>
      <c r="G223" s="7" t="s">
        <v>21</v>
      </c>
      <c r="H223" s="16">
        <f t="shared" si="6"/>
        <v>0</v>
      </c>
      <c r="I223" s="7" t="s">
        <v>21</v>
      </c>
      <c r="J223" s="16">
        <f>IF(Form_Responses1[[#This Row],[hoi_chung_vanh_man]]="Không", 0, 1)</f>
        <v>0</v>
      </c>
      <c r="K223" s="7" t="s">
        <v>21</v>
      </c>
      <c r="L223" s="16">
        <f>IF(Form_Responses1[[#This Row],[ckd]]="Không", 0, 1)</f>
        <v>0</v>
      </c>
      <c r="M223" s="7" t="s">
        <v>21</v>
      </c>
      <c r="N223" s="16">
        <f t="shared" si="7"/>
        <v>0</v>
      </c>
      <c r="O223" s="7" t="s">
        <v>21</v>
      </c>
      <c r="P223" s="16">
        <f>IF(Form_Responses1[[#This Row],[phan_loai_the_lam_sang]]="Suy tim mất bù cấp", 1,0)</f>
        <v>0</v>
      </c>
      <c r="Q223" s="16">
        <f>IF(Form_Responses1[[#This Row],[phan_loai_the_lam_sang]]="Phù phổi cấp", 1, 0)</f>
        <v>0</v>
      </c>
      <c r="R223" s="16">
        <f>IF(Form_Responses1[[#This Row],[phan_loai_the_lam_sang]]="Choáng tim", 1, 0)</f>
        <v>1</v>
      </c>
      <c r="S223" s="7" t="s">
        <v>28</v>
      </c>
      <c r="T223" s="16">
        <v>110</v>
      </c>
      <c r="U223" s="16">
        <v>90</v>
      </c>
      <c r="V223" s="16">
        <v>60</v>
      </c>
      <c r="W223" s="16">
        <f>IF(Form_Responses1[[#This Row],[hcvc]]="Không", 0, 1)</f>
        <v>1</v>
      </c>
      <c r="X223" s="7" t="s">
        <v>22</v>
      </c>
      <c r="Y223" s="16">
        <f>IF(Form_Responses1[[#This Row],[suy_ho_hap]]="Không", 0, 1)</f>
        <v>1</v>
      </c>
      <c r="Z223" s="7" t="s">
        <v>22</v>
      </c>
      <c r="AA223" s="16">
        <f>IF(Form_Responses1[[#This Row],[rung_nhi]]="Không", 0, 1)</f>
        <v>0</v>
      </c>
      <c r="AB223" s="7" t="s">
        <v>21</v>
      </c>
      <c r="AC223" s="16">
        <v>413</v>
      </c>
      <c r="AD223" s="16">
        <v>0.05</v>
      </c>
      <c r="AE223" s="16">
        <v>20.77</v>
      </c>
      <c r="AF223" s="16">
        <v>128</v>
      </c>
      <c r="AG223" s="16">
        <v>404</v>
      </c>
      <c r="AH223" s="16">
        <v>128</v>
      </c>
      <c r="AI223" s="16">
        <v>3.8</v>
      </c>
      <c r="AJ223" s="16">
        <v>24</v>
      </c>
      <c r="AK223" s="16">
        <v>1.1499999999999999</v>
      </c>
      <c r="AL223" s="7" t="s">
        <v>21</v>
      </c>
      <c r="AM223" s="7">
        <v>17949.599999999999</v>
      </c>
      <c r="AN223" s="6">
        <f>IF(Form_Responses1[[#This Row],[NT_proBNP &gt; 35000]]="Có", 35001, Form_Responses1[[#This Row],[NT_ProBNP]])</f>
        <v>17949.599999999999</v>
      </c>
      <c r="AO223" s="16">
        <f>IF(Form_Responses1[[#This Row],[NT_proBNP &gt; 35000]]="Có", 1, 0)</f>
        <v>0</v>
      </c>
      <c r="AP223" s="16">
        <v>8753.33</v>
      </c>
      <c r="AQ223" s="16">
        <v>31</v>
      </c>
      <c r="AR223" s="16">
        <v>22</v>
      </c>
      <c r="AS223" s="16">
        <v>161</v>
      </c>
      <c r="AT223" s="16">
        <v>27</v>
      </c>
      <c r="AU223" s="16">
        <v>28.4</v>
      </c>
      <c r="AV223" s="16">
        <v>35.9</v>
      </c>
      <c r="AW223" s="16">
        <v>25</v>
      </c>
      <c r="AX223" s="16">
        <v>30</v>
      </c>
      <c r="AY223" s="31">
        <f>IF(Form_Responses1[[#This Row],[ket_cuc]]="Không tử vong", 0, 1)</f>
        <v>0</v>
      </c>
      <c r="AZ223" s="7" t="s">
        <v>24</v>
      </c>
      <c r="BA223" s="32">
        <v>48</v>
      </c>
      <c r="BB223" s="32">
        <v>7.5090627939023158E-2</v>
      </c>
    </row>
    <row r="224" spans="1:55" ht="13" x14ac:dyDescent="0.15">
      <c r="A224" s="1" t="s">
        <v>97</v>
      </c>
      <c r="B224" s="6">
        <v>50</v>
      </c>
      <c r="C224" s="6">
        <f>IF(Form_Responses1[[#This Row],[gioi_tinh]]="Nữ", 0, 1)</f>
        <v>0</v>
      </c>
      <c r="D224" s="1" t="s">
        <v>20</v>
      </c>
      <c r="E224" s="6">
        <v>25.4</v>
      </c>
      <c r="F224" s="6">
        <f>IF(Form_Responses1[[#This Row],[dai_thao_duong]]="Không", 0, 1)</f>
        <v>0</v>
      </c>
      <c r="G224" s="1" t="s">
        <v>21</v>
      </c>
      <c r="H224" s="6">
        <f t="shared" si="6"/>
        <v>0</v>
      </c>
      <c r="I224" s="1" t="s">
        <v>21</v>
      </c>
      <c r="J224" s="6">
        <f>IF(Form_Responses1[[#This Row],[hoi_chung_vanh_man]]="Không", 0, 1)</f>
        <v>0</v>
      </c>
      <c r="K224" s="1" t="s">
        <v>21</v>
      </c>
      <c r="L224" s="6">
        <f>IF(Form_Responses1[[#This Row],[ckd]]="Không", 0, 1)</f>
        <v>0</v>
      </c>
      <c r="M224" s="1" t="s">
        <v>21</v>
      </c>
      <c r="N224" s="6">
        <f t="shared" si="7"/>
        <v>0</v>
      </c>
      <c r="O224" s="1" t="s">
        <v>21</v>
      </c>
      <c r="P224" s="6">
        <f>IF(Form_Responses1[[#This Row],[phan_loai_the_lam_sang]]="Suy tim mất bù cấp", 1,0)</f>
        <v>0</v>
      </c>
      <c r="Q224" s="6">
        <f>IF(Form_Responses1[[#This Row],[phan_loai_the_lam_sang]]="Phù phổi cấp", 1, 0)</f>
        <v>0</v>
      </c>
      <c r="R224" s="6">
        <f>IF(Form_Responses1[[#This Row],[phan_loai_the_lam_sang]]="Choáng tim", 1, 0)</f>
        <v>1</v>
      </c>
      <c r="S224" s="1" t="s">
        <v>28</v>
      </c>
      <c r="T224" s="6">
        <v>100</v>
      </c>
      <c r="U224" s="6">
        <v>90</v>
      </c>
      <c r="V224" s="6">
        <v>60</v>
      </c>
      <c r="W224" s="6">
        <f>IF(Form_Responses1[[#This Row],[hcvc]]="Không", 0, 1)</f>
        <v>0</v>
      </c>
      <c r="X224" s="1" t="s">
        <v>21</v>
      </c>
      <c r="Y224" s="6">
        <f>IF(Form_Responses1[[#This Row],[suy_ho_hap]]="Không", 0, 1)</f>
        <v>1</v>
      </c>
      <c r="Z224" s="1" t="s">
        <v>22</v>
      </c>
      <c r="AA224" s="6">
        <f>IF(Form_Responses1[[#This Row],[rung_nhi]]="Không", 0, 1)</f>
        <v>0</v>
      </c>
      <c r="AB224" s="1" t="s">
        <v>21</v>
      </c>
      <c r="AC224" s="6">
        <v>465</v>
      </c>
      <c r="AD224" s="6">
        <v>0.14000000000000001</v>
      </c>
      <c r="AE224" s="6">
        <v>6.3</v>
      </c>
      <c r="AF224" s="6">
        <v>126</v>
      </c>
      <c r="AG224" s="6">
        <v>222</v>
      </c>
      <c r="AH224" s="6">
        <v>131</v>
      </c>
      <c r="AI224" s="6">
        <v>3.3</v>
      </c>
      <c r="AJ224" s="6">
        <v>12</v>
      </c>
      <c r="AK224" s="6">
        <v>0.46</v>
      </c>
      <c r="AL224" s="1" t="s">
        <v>21</v>
      </c>
      <c r="AM224" s="1">
        <v>23662</v>
      </c>
      <c r="AN224" s="6">
        <f>IF(Form_Responses1[[#This Row],[NT_proBNP &gt; 35000]]="Có", 35001, Form_Responses1[[#This Row],[NT_ProBNP]])</f>
        <v>23662</v>
      </c>
      <c r="AO224" s="6">
        <f>IF(Form_Responses1[[#This Row],[NT_proBNP &gt; 35000]]="Có", 1, 0)</f>
        <v>0</v>
      </c>
      <c r="AP224" s="6">
        <v>21303.22</v>
      </c>
      <c r="AQ224" s="6">
        <v>254</v>
      </c>
      <c r="AR224" s="6">
        <v>150</v>
      </c>
      <c r="AS224" s="6">
        <v>192</v>
      </c>
      <c r="AT224" s="27">
        <v>29.6</v>
      </c>
      <c r="AU224" s="6">
        <v>45.4</v>
      </c>
      <c r="AV224" s="6">
        <v>51.2</v>
      </c>
      <c r="AW224" s="6">
        <v>25</v>
      </c>
      <c r="AX224" s="6">
        <v>43</v>
      </c>
      <c r="AY224" s="24">
        <f>IF(Form_Responses1[[#This Row],[ket_cuc]]="Không tử vong", 0, 1)</f>
        <v>0</v>
      </c>
      <c r="AZ224" s="1" t="s">
        <v>24</v>
      </c>
      <c r="BA224" s="33">
        <v>46</v>
      </c>
      <c r="BB224" s="33">
        <v>5.377864891231654E-2</v>
      </c>
      <c r="BC224" s="8"/>
    </row>
    <row r="225" spans="1:54" ht="13" x14ac:dyDescent="0.15">
      <c r="A225" s="2" t="s">
        <v>235</v>
      </c>
      <c r="B225" s="15">
        <v>53</v>
      </c>
      <c r="C225" s="15">
        <f>IF(Form_Responses1[[#This Row],[gioi_tinh]]="Nữ", 0, 1)</f>
        <v>1</v>
      </c>
      <c r="D225" s="2" t="s">
        <v>26</v>
      </c>
      <c r="E225" s="15">
        <v>24.2</v>
      </c>
      <c r="F225" s="15">
        <f>IF(Form_Responses1[[#This Row],[dai_thao_duong]]="Không", 0, 1)</f>
        <v>0</v>
      </c>
      <c r="G225" s="2" t="s">
        <v>21</v>
      </c>
      <c r="H225" s="15">
        <f t="shared" si="6"/>
        <v>1</v>
      </c>
      <c r="I225" s="2" t="s">
        <v>22</v>
      </c>
      <c r="J225" s="15">
        <f>IF(Form_Responses1[[#This Row],[hoi_chung_vanh_man]]="Không", 0, 1)</f>
        <v>0</v>
      </c>
      <c r="K225" s="2" t="s">
        <v>21</v>
      </c>
      <c r="L225" s="15">
        <f>IF(Form_Responses1[[#This Row],[ckd]]="Không", 0, 1)</f>
        <v>0</v>
      </c>
      <c r="M225" s="2" t="s">
        <v>21</v>
      </c>
      <c r="N225" s="15">
        <f t="shared" si="7"/>
        <v>0</v>
      </c>
      <c r="O225" s="2" t="s">
        <v>21</v>
      </c>
      <c r="P225" s="15">
        <f>IF(Form_Responses1[[#This Row],[phan_loai_the_lam_sang]]="Suy tim mất bù cấp", 1,0)</f>
        <v>1</v>
      </c>
      <c r="Q225" s="15">
        <f>IF(Form_Responses1[[#This Row],[phan_loai_the_lam_sang]]="Phù phổi cấp", 1, 0)</f>
        <v>0</v>
      </c>
      <c r="R225" s="15">
        <f>IF(Form_Responses1[[#This Row],[phan_loai_the_lam_sang]]="Choáng tim", 1, 0)</f>
        <v>0</v>
      </c>
      <c r="S225" s="2" t="s">
        <v>23</v>
      </c>
      <c r="T225" s="15">
        <v>100</v>
      </c>
      <c r="U225" s="15">
        <v>140</v>
      </c>
      <c r="V225" s="15">
        <v>100</v>
      </c>
      <c r="W225" s="15">
        <f>IF(Form_Responses1[[#This Row],[hcvc]]="Không", 0, 1)</f>
        <v>0</v>
      </c>
      <c r="X225" s="2" t="s">
        <v>21</v>
      </c>
      <c r="Y225" s="15">
        <f>IF(Form_Responses1[[#This Row],[suy_ho_hap]]="Không", 0, 1)</f>
        <v>0</v>
      </c>
      <c r="Z225" s="2" t="s">
        <v>21</v>
      </c>
      <c r="AA225" s="15">
        <f>IF(Form_Responses1[[#This Row],[rung_nhi]]="Không", 0, 1)</f>
        <v>0</v>
      </c>
      <c r="AB225" s="2" t="s">
        <v>21</v>
      </c>
      <c r="AC225" s="15">
        <v>450</v>
      </c>
      <c r="AD225" s="15">
        <v>0.08</v>
      </c>
      <c r="AE225" s="15">
        <v>8.1</v>
      </c>
      <c r="AF225" s="15">
        <v>148</v>
      </c>
      <c r="AG225" s="15">
        <v>323</v>
      </c>
      <c r="AH225" s="15">
        <v>138</v>
      </c>
      <c r="AI225" s="15">
        <v>3.2</v>
      </c>
      <c r="AJ225" s="15">
        <v>8.9</v>
      </c>
      <c r="AK225" s="15">
        <v>0.94</v>
      </c>
      <c r="AL225" s="2" t="s">
        <v>21</v>
      </c>
      <c r="AM225" s="2">
        <v>2631</v>
      </c>
      <c r="AN225" s="6">
        <f>IF(Form_Responses1[[#This Row],[NT_proBNP &gt; 35000]]="Có", 35001, Form_Responses1[[#This Row],[NT_ProBNP]])</f>
        <v>2631</v>
      </c>
      <c r="AO225" s="15">
        <f>IF(Form_Responses1[[#This Row],[NT_proBNP &gt; 35000]]="Có", 1, 0)</f>
        <v>0</v>
      </c>
      <c r="AP225" s="15">
        <v>25.85</v>
      </c>
      <c r="AQ225" s="15">
        <v>6</v>
      </c>
      <c r="AR225" s="15">
        <v>18</v>
      </c>
      <c r="AS225" s="15">
        <v>134</v>
      </c>
      <c r="AT225" s="27">
        <v>36</v>
      </c>
      <c r="AU225" s="15">
        <v>59</v>
      </c>
      <c r="AV225" s="15">
        <v>68</v>
      </c>
      <c r="AW225" s="15">
        <v>24</v>
      </c>
      <c r="AY225" s="25">
        <f>IF(Form_Responses1[[#This Row],[ket_cuc]]="Không tử vong", 0, 1)</f>
        <v>0</v>
      </c>
      <c r="AZ225" s="2" t="s">
        <v>24</v>
      </c>
      <c r="BA225" s="32">
        <v>32</v>
      </c>
      <c r="BB225" s="32">
        <v>2.6213437082673145E-2</v>
      </c>
    </row>
    <row r="226" spans="1:54" ht="13" x14ac:dyDescent="0.15">
      <c r="A226" s="1" t="s">
        <v>290</v>
      </c>
      <c r="B226" s="6">
        <v>74</v>
      </c>
      <c r="C226" s="6">
        <f>IF(Form_Responses1[[#This Row],[gioi_tinh]]="Nữ", 0, 1)</f>
        <v>0</v>
      </c>
      <c r="D226" s="1" t="s">
        <v>20</v>
      </c>
      <c r="E226" s="6">
        <v>15.6</v>
      </c>
      <c r="F226" s="6">
        <f>IF(Form_Responses1[[#This Row],[dai_thao_duong]]="Không", 0, 1)</f>
        <v>1</v>
      </c>
      <c r="G226" s="1" t="s">
        <v>22</v>
      </c>
      <c r="H226" s="6">
        <f t="shared" si="6"/>
        <v>1</v>
      </c>
      <c r="I226" s="1" t="s">
        <v>22</v>
      </c>
      <c r="J226" s="6">
        <f>IF(Form_Responses1[[#This Row],[hoi_chung_vanh_man]]="Không", 0, 1)</f>
        <v>0</v>
      </c>
      <c r="K226" s="1" t="s">
        <v>21</v>
      </c>
      <c r="L226" s="6">
        <f>IF(Form_Responses1[[#This Row],[ckd]]="Không", 0, 1)</f>
        <v>1</v>
      </c>
      <c r="M226" s="1" t="s">
        <v>22</v>
      </c>
      <c r="N226" s="6">
        <f t="shared" si="7"/>
        <v>0</v>
      </c>
      <c r="O226" s="1" t="s">
        <v>21</v>
      </c>
      <c r="P226" s="6">
        <f>IF(Form_Responses1[[#This Row],[phan_loai_the_lam_sang]]="Suy tim mất bù cấp", 1,0)</f>
        <v>1</v>
      </c>
      <c r="Q226" s="6">
        <f>IF(Form_Responses1[[#This Row],[phan_loai_the_lam_sang]]="Phù phổi cấp", 1, 0)</f>
        <v>0</v>
      </c>
      <c r="R226" s="6">
        <f>IF(Form_Responses1[[#This Row],[phan_loai_the_lam_sang]]="Choáng tim", 1, 0)</f>
        <v>0</v>
      </c>
      <c r="S226" s="1" t="s">
        <v>23</v>
      </c>
      <c r="T226" s="6">
        <v>76</v>
      </c>
      <c r="U226" s="6">
        <v>170</v>
      </c>
      <c r="V226" s="6">
        <v>100</v>
      </c>
      <c r="W226" s="6">
        <f>IF(Form_Responses1[[#This Row],[hcvc]]="Không", 0, 1)</f>
        <v>0</v>
      </c>
      <c r="X226" s="1" t="s">
        <v>21</v>
      </c>
      <c r="Y226" s="6">
        <f>IF(Form_Responses1[[#This Row],[suy_ho_hap]]="Không", 0, 1)</f>
        <v>1</v>
      </c>
      <c r="Z226" s="1" t="s">
        <v>22</v>
      </c>
      <c r="AA226" s="6">
        <f>IF(Form_Responses1[[#This Row],[rung_nhi]]="Không", 0, 1)</f>
        <v>0</v>
      </c>
      <c r="AB226" s="1" t="s">
        <v>21</v>
      </c>
      <c r="AC226" s="6">
        <v>447</v>
      </c>
      <c r="AD226" s="6">
        <v>0.06</v>
      </c>
      <c r="AE226" s="6">
        <v>7.44</v>
      </c>
      <c r="AF226" s="6">
        <v>112</v>
      </c>
      <c r="AG226" s="6">
        <v>137</v>
      </c>
      <c r="AH226" s="6">
        <v>134</v>
      </c>
      <c r="AI226" s="6">
        <v>3.5</v>
      </c>
      <c r="AJ226" s="6">
        <v>28</v>
      </c>
      <c r="AK226" s="6">
        <v>2.1800000000000002</v>
      </c>
      <c r="AL226" s="1" t="s">
        <v>22</v>
      </c>
      <c r="AM226" s="10"/>
      <c r="AN226" s="6">
        <f>IF(Form_Responses1[[#This Row],[NT_proBNP &gt; 35000]]="Có", 35001, Form_Responses1[[#This Row],[NT_ProBNP]])</f>
        <v>35001</v>
      </c>
      <c r="AO226" s="13">
        <f>IF(Form_Responses1[[#This Row],[NT_proBNP &gt; 35000]]="Có", 1, 0)</f>
        <v>1</v>
      </c>
      <c r="AP226" s="6">
        <v>26</v>
      </c>
      <c r="AQ226" s="6">
        <v>9</v>
      </c>
      <c r="AR226" s="6">
        <v>178</v>
      </c>
      <c r="AS226" s="18">
        <v>112</v>
      </c>
      <c r="AT226" s="6">
        <v>25</v>
      </c>
      <c r="AU226" s="6">
        <v>38</v>
      </c>
      <c r="AV226" s="6">
        <v>47</v>
      </c>
      <c r="AW226" s="6">
        <v>24</v>
      </c>
      <c r="AX226" s="6">
        <v>33</v>
      </c>
      <c r="AY226" s="24">
        <f>IF(Form_Responses1[[#This Row],[ket_cuc]]="Không tử vong", 0, 1)</f>
        <v>0</v>
      </c>
      <c r="AZ226" s="1" t="s">
        <v>24</v>
      </c>
      <c r="BA226" s="32">
        <v>32</v>
      </c>
      <c r="BB226" s="32">
        <v>5.1193126385597719E-2</v>
      </c>
    </row>
    <row r="227" spans="1:54" ht="13" x14ac:dyDescent="0.15">
      <c r="A227" s="2" t="s">
        <v>239</v>
      </c>
      <c r="B227" s="15">
        <v>62</v>
      </c>
      <c r="C227" s="15">
        <f>IF(Form_Responses1[[#This Row],[gioi_tinh]]="Nữ", 0, 1)</f>
        <v>1</v>
      </c>
      <c r="D227" s="2" t="s">
        <v>26</v>
      </c>
      <c r="E227" s="15">
        <v>31.3</v>
      </c>
      <c r="F227" s="15">
        <f>IF(Form_Responses1[[#This Row],[dai_thao_duong]]="Không", 0, 1)</f>
        <v>0</v>
      </c>
      <c r="G227" s="2" t="s">
        <v>21</v>
      </c>
      <c r="H227" s="15">
        <f t="shared" si="6"/>
        <v>0</v>
      </c>
      <c r="I227" s="2" t="s">
        <v>21</v>
      </c>
      <c r="J227" s="15">
        <f>IF(Form_Responses1[[#This Row],[hoi_chung_vanh_man]]="Không", 0, 1)</f>
        <v>0</v>
      </c>
      <c r="K227" s="2" t="s">
        <v>21</v>
      </c>
      <c r="L227" s="15">
        <f>IF(Form_Responses1[[#This Row],[ckd]]="Không", 0, 1)</f>
        <v>0</v>
      </c>
      <c r="M227" s="2" t="s">
        <v>21</v>
      </c>
      <c r="N227" s="15">
        <f t="shared" si="7"/>
        <v>0</v>
      </c>
      <c r="O227" s="2" t="s">
        <v>21</v>
      </c>
      <c r="P227" s="15">
        <f>IF(Form_Responses1[[#This Row],[phan_loai_the_lam_sang]]="Suy tim mất bù cấp", 1,0)</f>
        <v>1</v>
      </c>
      <c r="Q227" s="15">
        <f>IF(Form_Responses1[[#This Row],[phan_loai_the_lam_sang]]="Phù phổi cấp", 1, 0)</f>
        <v>0</v>
      </c>
      <c r="R227" s="15">
        <f>IF(Form_Responses1[[#This Row],[phan_loai_the_lam_sang]]="Choáng tim", 1, 0)</f>
        <v>0</v>
      </c>
      <c r="S227" s="2" t="s">
        <v>23</v>
      </c>
      <c r="T227" s="15">
        <v>98</v>
      </c>
      <c r="U227" s="15">
        <v>150</v>
      </c>
      <c r="V227" s="15">
        <v>70</v>
      </c>
      <c r="W227" s="15">
        <f>IF(Form_Responses1[[#This Row],[hcvc]]="Không", 0, 1)</f>
        <v>0</v>
      </c>
      <c r="X227" s="2" t="s">
        <v>21</v>
      </c>
      <c r="Y227" s="15">
        <f>IF(Form_Responses1[[#This Row],[suy_ho_hap]]="Không", 0, 1)</f>
        <v>1</v>
      </c>
      <c r="Z227" s="2" t="s">
        <v>22</v>
      </c>
      <c r="AA227" s="15">
        <f>IF(Form_Responses1[[#This Row],[rung_nhi]]="Không", 0, 1)</f>
        <v>1</v>
      </c>
      <c r="AB227" s="2" t="s">
        <v>22</v>
      </c>
      <c r="AC227" s="15">
        <v>370</v>
      </c>
      <c r="AD227" s="15">
        <v>0.05</v>
      </c>
      <c r="AE227" s="15">
        <v>7.5</v>
      </c>
      <c r="AF227" s="15">
        <v>147</v>
      </c>
      <c r="AG227" s="15">
        <v>207</v>
      </c>
      <c r="AH227" s="15">
        <v>130</v>
      </c>
      <c r="AI227" s="15">
        <v>4.5</v>
      </c>
      <c r="AJ227" s="15">
        <v>10</v>
      </c>
      <c r="AK227" s="15">
        <v>0.88</v>
      </c>
      <c r="AL227" s="2" t="s">
        <v>21</v>
      </c>
      <c r="AM227" s="28">
        <v>7145</v>
      </c>
      <c r="AN227" s="6">
        <f>IF(Form_Responses1[[#This Row],[NT_proBNP &gt; 35000]]="Có", 35001, Form_Responses1[[#This Row],[NT_ProBNP]])</f>
        <v>7145</v>
      </c>
      <c r="AO227" s="27">
        <f>IF(Form_Responses1[[#This Row],[NT_proBNP &gt; 35000]]="Có", 1, 0)</f>
        <v>0</v>
      </c>
      <c r="AP227" s="15">
        <v>35.1</v>
      </c>
      <c r="AQ227" s="15">
        <v>34</v>
      </c>
      <c r="AR227" s="15">
        <v>20</v>
      </c>
      <c r="AS227" s="27">
        <v>80</v>
      </c>
      <c r="AT227" s="15">
        <v>35.9</v>
      </c>
      <c r="AU227" s="15">
        <v>48.3</v>
      </c>
      <c r="AV227" s="15">
        <v>57.8</v>
      </c>
      <c r="AW227" s="15">
        <v>24</v>
      </c>
      <c r="AX227" s="15">
        <v>41</v>
      </c>
      <c r="AY227" s="22">
        <f>IF(Form_Responses1[[#This Row],[ket_cuc]]="Không tử vong", 0, 1)</f>
        <v>0</v>
      </c>
      <c r="AZ227" s="2" t="s">
        <v>24</v>
      </c>
      <c r="BA227" s="32">
        <v>37</v>
      </c>
      <c r="BB227" s="32">
        <v>5.8271713655167062E-2</v>
      </c>
    </row>
    <row r="228" spans="1:54" ht="13" x14ac:dyDescent="0.15">
      <c r="A228" s="1" t="s">
        <v>314</v>
      </c>
      <c r="B228" s="6">
        <v>64</v>
      </c>
      <c r="C228" s="6">
        <f>IF(Form_Responses1[[#This Row],[gioi_tinh]]="Nữ", 0, 1)</f>
        <v>1</v>
      </c>
      <c r="D228" s="1" t="s">
        <v>26</v>
      </c>
      <c r="E228" s="6">
        <v>19.5</v>
      </c>
      <c r="F228" s="6">
        <f>IF(Form_Responses1[[#This Row],[dai_thao_duong]]="Không", 0, 1)</f>
        <v>0</v>
      </c>
      <c r="G228" s="1" t="s">
        <v>21</v>
      </c>
      <c r="H228" s="6">
        <f t="shared" si="6"/>
        <v>0</v>
      </c>
      <c r="I228" s="1" t="s">
        <v>21</v>
      </c>
      <c r="J228" s="6">
        <f>IF(Form_Responses1[[#This Row],[hoi_chung_vanh_man]]="Không", 0, 1)</f>
        <v>1</v>
      </c>
      <c r="K228" s="1" t="s">
        <v>22</v>
      </c>
      <c r="L228" s="6">
        <f>IF(Form_Responses1[[#This Row],[ckd]]="Không", 0, 1)</f>
        <v>0</v>
      </c>
      <c r="M228" s="1" t="s">
        <v>21</v>
      </c>
      <c r="N228" s="6">
        <f t="shared" si="7"/>
        <v>1</v>
      </c>
      <c r="O228" s="1" t="s">
        <v>22</v>
      </c>
      <c r="P228" s="6">
        <f>IF(Form_Responses1[[#This Row],[phan_loai_the_lam_sang]]="Suy tim mất bù cấp", 1,0)</f>
        <v>1</v>
      </c>
      <c r="Q228" s="6">
        <f>IF(Form_Responses1[[#This Row],[phan_loai_the_lam_sang]]="Phù phổi cấp", 1, 0)</f>
        <v>0</v>
      </c>
      <c r="R228" s="6">
        <f>IF(Form_Responses1[[#This Row],[phan_loai_the_lam_sang]]="Choáng tim", 1, 0)</f>
        <v>0</v>
      </c>
      <c r="S228" s="1" t="s">
        <v>23</v>
      </c>
      <c r="T228" s="6">
        <v>90</v>
      </c>
      <c r="U228" s="6">
        <v>140</v>
      </c>
      <c r="V228" s="6">
        <v>90</v>
      </c>
      <c r="W228" s="6">
        <f>IF(Form_Responses1[[#This Row],[hcvc]]="Không", 0, 1)</f>
        <v>0</v>
      </c>
      <c r="X228" s="1" t="s">
        <v>21</v>
      </c>
      <c r="Y228" s="6">
        <f>IF(Form_Responses1[[#This Row],[suy_ho_hap]]="Không", 0, 1)</f>
        <v>0</v>
      </c>
      <c r="Z228" s="1" t="s">
        <v>21</v>
      </c>
      <c r="AA228" s="6">
        <f>IF(Form_Responses1[[#This Row],[rung_nhi]]="Không", 0, 1)</f>
        <v>0</v>
      </c>
      <c r="AB228" s="1" t="s">
        <v>21</v>
      </c>
      <c r="AC228" s="6">
        <v>404</v>
      </c>
      <c r="AD228" s="6">
        <v>0.12</v>
      </c>
      <c r="AE228" s="6">
        <v>17.329999999999998</v>
      </c>
      <c r="AF228" s="6">
        <v>108</v>
      </c>
      <c r="AG228" s="6">
        <v>251</v>
      </c>
      <c r="AH228" s="6">
        <v>127</v>
      </c>
      <c r="AI228" s="6">
        <v>4.8</v>
      </c>
      <c r="AJ228" s="6">
        <v>12</v>
      </c>
      <c r="AK228" s="6">
        <v>0.81</v>
      </c>
      <c r="AL228" s="1" t="s">
        <v>22</v>
      </c>
      <c r="AM228" s="10"/>
      <c r="AN228" s="6">
        <f>IF(Form_Responses1[[#This Row],[NT_proBNP &gt; 35000]]="Có", 35001, Form_Responses1[[#This Row],[NT_ProBNP]])</f>
        <v>35001</v>
      </c>
      <c r="AO228" s="13">
        <f>IF(Form_Responses1[[#This Row],[NT_proBNP &gt; 35000]]="Có", 1, 0)</f>
        <v>1</v>
      </c>
      <c r="AP228" s="6">
        <v>35.85</v>
      </c>
      <c r="AQ228" s="6">
        <v>47</v>
      </c>
      <c r="AR228" s="6">
        <v>20</v>
      </c>
      <c r="AS228" s="6">
        <v>171</v>
      </c>
      <c r="AT228" s="6">
        <v>38</v>
      </c>
      <c r="AU228" s="6">
        <v>61</v>
      </c>
      <c r="AV228" s="6">
        <v>67</v>
      </c>
      <c r="AW228" s="6">
        <v>24</v>
      </c>
      <c r="AX228" s="27">
        <v>42</v>
      </c>
      <c r="AY228" s="29">
        <f>IF(Form_Responses1[[#This Row],[ket_cuc]]="Không tử vong", 0, 1)</f>
        <v>0</v>
      </c>
      <c r="AZ228" s="1" t="s">
        <v>24</v>
      </c>
      <c r="BA228" s="32">
        <v>40</v>
      </c>
      <c r="BB228" s="32">
        <v>4.0256290584260321E-2</v>
      </c>
    </row>
    <row r="229" spans="1:54" ht="13" x14ac:dyDescent="0.15">
      <c r="A229" s="2" t="s">
        <v>32</v>
      </c>
      <c r="B229" s="15">
        <v>73</v>
      </c>
      <c r="C229" s="15">
        <f>IF(Form_Responses1[[#This Row],[gioi_tinh]]="Nữ", 0, 1)</f>
        <v>0</v>
      </c>
      <c r="D229" s="2" t="s">
        <v>20</v>
      </c>
      <c r="E229" s="15">
        <v>22.06</v>
      </c>
      <c r="F229" s="15">
        <f>IF(Form_Responses1[[#This Row],[dai_thao_duong]]="Không", 0, 1)</f>
        <v>1</v>
      </c>
      <c r="G229" s="2" t="s">
        <v>22</v>
      </c>
      <c r="H229" s="15">
        <f t="shared" si="6"/>
        <v>0</v>
      </c>
      <c r="I229" s="2" t="s">
        <v>21</v>
      </c>
      <c r="J229" s="15">
        <f>IF(Form_Responses1[[#This Row],[hoi_chung_vanh_man]]="Không", 0, 1)</f>
        <v>1</v>
      </c>
      <c r="K229" s="2" t="s">
        <v>22</v>
      </c>
      <c r="L229" s="15">
        <f>IF(Form_Responses1[[#This Row],[ckd]]="Không", 0, 1)</f>
        <v>0</v>
      </c>
      <c r="M229" s="2" t="s">
        <v>21</v>
      </c>
      <c r="N229" s="15">
        <f t="shared" si="7"/>
        <v>0</v>
      </c>
      <c r="O229" s="2" t="s">
        <v>21</v>
      </c>
      <c r="P229" s="15">
        <f>IF(Form_Responses1[[#This Row],[phan_loai_the_lam_sang]]="Suy tim mất bù cấp", 1,0)</f>
        <v>1</v>
      </c>
      <c r="Q229" s="15">
        <f>IF(Form_Responses1[[#This Row],[phan_loai_the_lam_sang]]="Phù phổi cấp", 1, 0)</f>
        <v>0</v>
      </c>
      <c r="R229" s="15">
        <f>IF(Form_Responses1[[#This Row],[phan_loai_the_lam_sang]]="Choáng tim", 1, 0)</f>
        <v>0</v>
      </c>
      <c r="S229" s="2" t="s">
        <v>23</v>
      </c>
      <c r="T229" s="15">
        <v>102</v>
      </c>
      <c r="U229" s="15">
        <v>80</v>
      </c>
      <c r="V229" s="15">
        <v>50</v>
      </c>
      <c r="W229" s="15">
        <f>IF(Form_Responses1[[#This Row],[hcvc]]="Không", 0, 1)</f>
        <v>0</v>
      </c>
      <c r="X229" s="2" t="s">
        <v>21</v>
      </c>
      <c r="Y229" s="15">
        <f>IF(Form_Responses1[[#This Row],[suy_ho_hap]]="Không", 0, 1)</f>
        <v>1</v>
      </c>
      <c r="Z229" s="2" t="s">
        <v>22</v>
      </c>
      <c r="AA229" s="15">
        <f>IF(Form_Responses1[[#This Row],[rung_nhi]]="Không", 0, 1)</f>
        <v>0</v>
      </c>
      <c r="AB229" s="2" t="s">
        <v>21</v>
      </c>
      <c r="AC229" s="15">
        <v>413</v>
      </c>
      <c r="AD229" s="15">
        <v>0.06</v>
      </c>
      <c r="AE229" s="15">
        <v>7.34</v>
      </c>
      <c r="AF229" s="15">
        <v>77</v>
      </c>
      <c r="AG229" s="15">
        <v>216</v>
      </c>
      <c r="AH229" s="15">
        <v>127</v>
      </c>
      <c r="AI229" s="15">
        <v>5.2</v>
      </c>
      <c r="AJ229" s="15">
        <v>71</v>
      </c>
      <c r="AK229" s="15">
        <v>2.34</v>
      </c>
      <c r="AL229" s="2" t="s">
        <v>21</v>
      </c>
      <c r="AM229" s="2">
        <v>20068.599999999999</v>
      </c>
      <c r="AN229" s="6">
        <f>IF(Form_Responses1[[#This Row],[NT_proBNP &gt; 35000]]="Có", 35001, Form_Responses1[[#This Row],[NT_ProBNP]])</f>
        <v>20068.599999999999</v>
      </c>
      <c r="AO229" s="15">
        <f>IF(Form_Responses1[[#This Row],[NT_proBNP &gt; 35000]]="Có", 1, 0)</f>
        <v>0</v>
      </c>
      <c r="AP229" s="15">
        <v>53.86</v>
      </c>
      <c r="AQ229" s="15">
        <v>32</v>
      </c>
      <c r="AR229" s="15">
        <v>16</v>
      </c>
      <c r="AS229" s="15">
        <v>88</v>
      </c>
      <c r="AT229" s="18"/>
      <c r="AU229" s="15">
        <v>41.1</v>
      </c>
      <c r="AV229" s="15">
        <v>46.3</v>
      </c>
      <c r="AW229" s="15">
        <v>24</v>
      </c>
      <c r="AX229" s="27">
        <v>53</v>
      </c>
      <c r="AY229" s="29">
        <f>IF(Form_Responses1[[#This Row],[ket_cuc]]="Không tử vong", 0, 1)</f>
        <v>0</v>
      </c>
      <c r="AZ229" s="2" t="s">
        <v>24</v>
      </c>
      <c r="BA229" s="32">
        <v>66</v>
      </c>
      <c r="BB229" s="32">
        <v>0.32383565739799058</v>
      </c>
    </row>
    <row r="230" spans="1:54" ht="13" x14ac:dyDescent="0.15">
      <c r="A230" s="1" t="s">
        <v>86</v>
      </c>
      <c r="B230" s="6">
        <v>77</v>
      </c>
      <c r="C230" s="6">
        <f>IF(Form_Responses1[[#This Row],[gioi_tinh]]="Nữ", 0, 1)</f>
        <v>0</v>
      </c>
      <c r="D230" s="1" t="s">
        <v>20</v>
      </c>
      <c r="E230" s="6">
        <v>24.4</v>
      </c>
      <c r="F230" s="6">
        <f>IF(Form_Responses1[[#This Row],[dai_thao_duong]]="Không", 0, 1)</f>
        <v>1</v>
      </c>
      <c r="G230" s="1" t="s">
        <v>22</v>
      </c>
      <c r="H230" s="6">
        <f t="shared" si="6"/>
        <v>1</v>
      </c>
      <c r="I230" s="1" t="s">
        <v>22</v>
      </c>
      <c r="J230" s="6">
        <f>IF(Form_Responses1[[#This Row],[hoi_chung_vanh_man]]="Không", 0, 1)</f>
        <v>1</v>
      </c>
      <c r="K230" s="1" t="s">
        <v>22</v>
      </c>
      <c r="L230" s="6">
        <f>IF(Form_Responses1[[#This Row],[ckd]]="Không", 0, 1)</f>
        <v>1</v>
      </c>
      <c r="M230" s="1" t="s">
        <v>22</v>
      </c>
      <c r="N230" s="6">
        <f t="shared" si="7"/>
        <v>0</v>
      </c>
      <c r="O230" s="1" t="s">
        <v>21</v>
      </c>
      <c r="P230" s="6">
        <f>IF(Form_Responses1[[#This Row],[phan_loai_the_lam_sang]]="Suy tim mất bù cấp", 1,0)</f>
        <v>1</v>
      </c>
      <c r="Q230" s="6">
        <f>IF(Form_Responses1[[#This Row],[phan_loai_the_lam_sang]]="Phù phổi cấp", 1, 0)</f>
        <v>0</v>
      </c>
      <c r="R230" s="6">
        <f>IF(Form_Responses1[[#This Row],[phan_loai_the_lam_sang]]="Choáng tim", 1, 0)</f>
        <v>0</v>
      </c>
      <c r="S230" s="1" t="s">
        <v>23</v>
      </c>
      <c r="T230" s="6">
        <v>80</v>
      </c>
      <c r="U230" s="6">
        <v>120</v>
      </c>
      <c r="V230" s="6">
        <v>60</v>
      </c>
      <c r="W230" s="6">
        <f>IF(Form_Responses1[[#This Row],[hcvc]]="Không", 0, 1)</f>
        <v>0</v>
      </c>
      <c r="X230" s="1" t="s">
        <v>21</v>
      </c>
      <c r="Y230" s="6">
        <f>IF(Form_Responses1[[#This Row],[suy_ho_hap]]="Không", 0, 1)</f>
        <v>0</v>
      </c>
      <c r="Z230" s="1" t="s">
        <v>21</v>
      </c>
      <c r="AA230" s="6">
        <f>IF(Form_Responses1[[#This Row],[rung_nhi]]="Không", 0, 1)</f>
        <v>0</v>
      </c>
      <c r="AB230" s="1" t="s">
        <v>21</v>
      </c>
      <c r="AC230" s="6">
        <v>447</v>
      </c>
      <c r="AD230" s="6">
        <v>0.08</v>
      </c>
      <c r="AE230" s="6">
        <v>10.6</v>
      </c>
      <c r="AF230" s="6">
        <v>107</v>
      </c>
      <c r="AG230" s="6">
        <v>500</v>
      </c>
      <c r="AH230" s="6">
        <v>128</v>
      </c>
      <c r="AI230" s="6">
        <v>4.0999999999999996</v>
      </c>
      <c r="AJ230" s="6">
        <v>39</v>
      </c>
      <c r="AK230" s="6">
        <v>2.21</v>
      </c>
      <c r="AL230" s="1" t="s">
        <v>21</v>
      </c>
      <c r="AM230" s="1">
        <v>28561.200000000001</v>
      </c>
      <c r="AN230" s="6">
        <f>IF(Form_Responses1[[#This Row],[NT_proBNP &gt; 35000]]="Có", 35001, Form_Responses1[[#This Row],[NT_ProBNP]])</f>
        <v>28561.200000000001</v>
      </c>
      <c r="AO230" s="6">
        <f>IF(Form_Responses1[[#This Row],[NT_proBNP &gt; 35000]]="Có", 1, 0)</f>
        <v>0</v>
      </c>
      <c r="AP230" s="6">
        <v>60.09</v>
      </c>
      <c r="AQ230" s="6">
        <v>15</v>
      </c>
      <c r="AR230" s="6">
        <v>13</v>
      </c>
      <c r="AS230" s="6">
        <v>255</v>
      </c>
      <c r="AT230" s="27">
        <v>46</v>
      </c>
      <c r="AU230" s="6">
        <v>53</v>
      </c>
      <c r="AV230" s="6">
        <v>59</v>
      </c>
      <c r="AW230" s="6">
        <v>24</v>
      </c>
      <c r="AX230" s="13"/>
      <c r="AY230" s="23">
        <f>IF(Form_Responses1[[#This Row],[ket_cuc]]="Không tử vong", 0, 1)</f>
        <v>0</v>
      </c>
      <c r="AZ230" s="1" t="s">
        <v>24</v>
      </c>
      <c r="BA230" s="32">
        <v>46</v>
      </c>
      <c r="BB230" s="32">
        <v>0.14435253301410994</v>
      </c>
    </row>
    <row r="231" spans="1:54" ht="13" x14ac:dyDescent="0.15">
      <c r="A231" s="2" t="s">
        <v>323</v>
      </c>
      <c r="B231" s="15">
        <v>56</v>
      </c>
      <c r="C231" s="15">
        <f>IF(Form_Responses1[[#This Row],[gioi_tinh]]="Nữ", 0, 1)</f>
        <v>1</v>
      </c>
      <c r="D231" s="2" t="s">
        <v>26</v>
      </c>
      <c r="E231" s="15">
        <v>20.2</v>
      </c>
      <c r="F231" s="15">
        <f>IF(Form_Responses1[[#This Row],[dai_thao_duong]]="Không", 0, 1)</f>
        <v>1</v>
      </c>
      <c r="G231" s="2" t="s">
        <v>22</v>
      </c>
      <c r="H231" s="15">
        <f t="shared" si="6"/>
        <v>1</v>
      </c>
      <c r="I231" s="2" t="s">
        <v>22</v>
      </c>
      <c r="J231" s="15">
        <f>IF(Form_Responses1[[#This Row],[hoi_chung_vanh_man]]="Không", 0, 1)</f>
        <v>0</v>
      </c>
      <c r="K231" s="2" t="s">
        <v>21</v>
      </c>
      <c r="L231" s="15">
        <f>IF(Form_Responses1[[#This Row],[ckd]]="Không", 0, 1)</f>
        <v>0</v>
      </c>
      <c r="M231" s="2" t="s">
        <v>21</v>
      </c>
      <c r="N231" s="15">
        <f t="shared" si="7"/>
        <v>0</v>
      </c>
      <c r="O231" s="2" t="s">
        <v>21</v>
      </c>
      <c r="P231" s="15">
        <f>IF(Form_Responses1[[#This Row],[phan_loai_the_lam_sang]]="Suy tim mất bù cấp", 1,0)</f>
        <v>1</v>
      </c>
      <c r="Q231" s="15">
        <f>IF(Form_Responses1[[#This Row],[phan_loai_the_lam_sang]]="Phù phổi cấp", 1, 0)</f>
        <v>0</v>
      </c>
      <c r="R231" s="15">
        <f>IF(Form_Responses1[[#This Row],[phan_loai_the_lam_sang]]="Choáng tim", 1, 0)</f>
        <v>0</v>
      </c>
      <c r="S231" s="2" t="s">
        <v>23</v>
      </c>
      <c r="T231" s="15">
        <v>40</v>
      </c>
      <c r="U231" s="15">
        <v>130</v>
      </c>
      <c r="V231" s="15">
        <v>90</v>
      </c>
      <c r="W231" s="15">
        <f>IF(Form_Responses1[[#This Row],[hcvc]]="Không", 0, 1)</f>
        <v>0</v>
      </c>
      <c r="X231" s="2" t="s">
        <v>21</v>
      </c>
      <c r="Y231" s="15">
        <f>IF(Form_Responses1[[#This Row],[suy_ho_hap]]="Không", 0, 1)</f>
        <v>0</v>
      </c>
      <c r="Z231" s="2" t="s">
        <v>21</v>
      </c>
      <c r="AA231" s="15">
        <f>IF(Form_Responses1[[#This Row],[rung_nhi]]="Không", 0, 1)</f>
        <v>1</v>
      </c>
      <c r="AB231" s="2" t="s">
        <v>22</v>
      </c>
      <c r="AC231" s="15">
        <v>394</v>
      </c>
      <c r="AD231" s="15">
        <v>0.1</v>
      </c>
      <c r="AE231" s="15">
        <v>8.14</v>
      </c>
      <c r="AF231" s="15">
        <v>137</v>
      </c>
      <c r="AG231" s="15">
        <v>204</v>
      </c>
      <c r="AH231" s="15">
        <v>134</v>
      </c>
      <c r="AI231" s="15">
        <v>4.4000000000000004</v>
      </c>
      <c r="AJ231" s="15">
        <v>44</v>
      </c>
      <c r="AK231" s="15">
        <v>1.5</v>
      </c>
      <c r="AL231" s="2" t="s">
        <v>21</v>
      </c>
      <c r="AM231" s="2">
        <v>5992.5</v>
      </c>
      <c r="AN231" s="6">
        <f>IF(Form_Responses1[[#This Row],[NT_proBNP &gt; 35000]]="Có", 35001, Form_Responses1[[#This Row],[NT_ProBNP]])</f>
        <v>5992.5</v>
      </c>
      <c r="AO231" s="15">
        <f>IF(Form_Responses1[[#This Row],[NT_proBNP &gt; 35000]]="Có", 1, 0)</f>
        <v>0</v>
      </c>
      <c r="AP231" s="15">
        <v>81.93</v>
      </c>
      <c r="AQ231" s="15">
        <v>81</v>
      </c>
      <c r="AR231" s="15">
        <v>158</v>
      </c>
      <c r="AS231" s="20"/>
      <c r="AT231" s="15">
        <v>44</v>
      </c>
      <c r="AU231" s="15">
        <v>54</v>
      </c>
      <c r="AV231" s="15">
        <v>61</v>
      </c>
      <c r="AW231" s="15">
        <v>24</v>
      </c>
      <c r="AX231" s="18"/>
      <c r="AY231" s="26">
        <f>IF(Form_Responses1[[#This Row],[ket_cuc]]="Không tử vong", 0, 1)</f>
        <v>0</v>
      </c>
      <c r="AZ231" s="2" t="s">
        <v>24</v>
      </c>
      <c r="BA231" s="32">
        <v>37</v>
      </c>
      <c r="BB231" s="32">
        <v>3.2977380485487373E-2</v>
      </c>
    </row>
    <row r="232" spans="1:54" ht="13" x14ac:dyDescent="0.15">
      <c r="A232" s="2" t="s">
        <v>252</v>
      </c>
      <c r="B232" s="15">
        <v>70</v>
      </c>
      <c r="C232" s="15">
        <f>IF(Form_Responses1[[#This Row],[gioi_tinh]]="Nữ", 0, 1)</f>
        <v>0</v>
      </c>
      <c r="D232" s="2" t="s">
        <v>20</v>
      </c>
      <c r="E232" s="15">
        <v>22.7</v>
      </c>
      <c r="F232" s="15">
        <f>IF(Form_Responses1[[#This Row],[dai_thao_duong]]="Không", 0, 1)</f>
        <v>0</v>
      </c>
      <c r="G232" s="2" t="s">
        <v>21</v>
      </c>
      <c r="H232" s="15">
        <f t="shared" si="6"/>
        <v>1</v>
      </c>
      <c r="I232" s="2" t="s">
        <v>22</v>
      </c>
      <c r="J232" s="15">
        <f>IF(Form_Responses1[[#This Row],[hoi_chung_vanh_man]]="Không", 0, 1)</f>
        <v>0</v>
      </c>
      <c r="K232" s="2" t="s">
        <v>21</v>
      </c>
      <c r="L232" s="15">
        <f>IF(Form_Responses1[[#This Row],[ckd]]="Không", 0, 1)</f>
        <v>0</v>
      </c>
      <c r="M232" s="2" t="s">
        <v>21</v>
      </c>
      <c r="N232" s="15">
        <f t="shared" si="7"/>
        <v>0</v>
      </c>
      <c r="O232" s="2" t="s">
        <v>21</v>
      </c>
      <c r="P232" s="15">
        <f>IF(Form_Responses1[[#This Row],[phan_loai_the_lam_sang]]="Suy tim mất bù cấp", 1,0)</f>
        <v>1</v>
      </c>
      <c r="Q232" s="15">
        <f>IF(Form_Responses1[[#This Row],[phan_loai_the_lam_sang]]="Phù phổi cấp", 1, 0)</f>
        <v>0</v>
      </c>
      <c r="R232" s="15">
        <f>IF(Form_Responses1[[#This Row],[phan_loai_the_lam_sang]]="Choáng tim", 1, 0)</f>
        <v>0</v>
      </c>
      <c r="S232" s="2" t="s">
        <v>23</v>
      </c>
      <c r="T232" s="15">
        <v>130</v>
      </c>
      <c r="U232" s="15">
        <v>130</v>
      </c>
      <c r="V232" s="15">
        <v>80</v>
      </c>
      <c r="W232" s="15">
        <f>IF(Form_Responses1[[#This Row],[hcvc]]="Không", 0, 1)</f>
        <v>0</v>
      </c>
      <c r="X232" s="2" t="s">
        <v>21</v>
      </c>
      <c r="Y232" s="15">
        <f>IF(Form_Responses1[[#This Row],[suy_ho_hap]]="Không", 0, 1)</f>
        <v>1</v>
      </c>
      <c r="Z232" s="2" t="s">
        <v>22</v>
      </c>
      <c r="AA232" s="15">
        <f>IF(Form_Responses1[[#This Row],[rung_nhi]]="Không", 0, 1)</f>
        <v>0</v>
      </c>
      <c r="AB232" s="2" t="s">
        <v>21</v>
      </c>
      <c r="AC232" s="15">
        <v>531</v>
      </c>
      <c r="AD232" s="15">
        <v>0.08</v>
      </c>
      <c r="AE232" s="15">
        <v>10.78</v>
      </c>
      <c r="AF232" s="15">
        <v>106</v>
      </c>
      <c r="AG232" s="15">
        <v>270</v>
      </c>
      <c r="AH232" s="15">
        <v>136</v>
      </c>
      <c r="AI232" s="15">
        <v>3.2</v>
      </c>
      <c r="AJ232" s="15">
        <v>14</v>
      </c>
      <c r="AK232" s="15">
        <v>0.91</v>
      </c>
      <c r="AL232" s="2" t="s">
        <v>21</v>
      </c>
      <c r="AM232" s="2">
        <v>22509</v>
      </c>
      <c r="AN232" s="6">
        <f>IF(Form_Responses1[[#This Row],[NT_proBNP &gt; 35000]]="Có", 35001, Form_Responses1[[#This Row],[NT_ProBNP]])</f>
        <v>22509</v>
      </c>
      <c r="AO232" s="15">
        <f>IF(Form_Responses1[[#This Row],[NT_proBNP &gt; 35000]]="Có", 1, 0)</f>
        <v>0</v>
      </c>
      <c r="AP232" s="15">
        <v>201.5</v>
      </c>
      <c r="AQ232" s="15">
        <v>23</v>
      </c>
      <c r="AR232" s="15">
        <v>9</v>
      </c>
      <c r="AS232" s="15">
        <v>88</v>
      </c>
      <c r="AT232" s="15">
        <v>32</v>
      </c>
      <c r="AU232" s="15">
        <v>38</v>
      </c>
      <c r="AV232" s="15">
        <v>45</v>
      </c>
      <c r="AW232" s="15">
        <v>24</v>
      </c>
      <c r="AX232" s="18"/>
      <c r="AY232" s="26">
        <f>IF(Form_Responses1[[#This Row],[ket_cuc]]="Không tử vong", 0, 1)</f>
        <v>1</v>
      </c>
      <c r="AZ232" s="2" t="s">
        <v>29</v>
      </c>
      <c r="BA232" s="32">
        <v>45</v>
      </c>
      <c r="BB232" s="32">
        <v>9.6198151492881967E-2</v>
      </c>
    </row>
    <row r="233" spans="1:54" ht="13" x14ac:dyDescent="0.15">
      <c r="A233" s="1" t="s">
        <v>222</v>
      </c>
      <c r="B233" s="6">
        <v>27</v>
      </c>
      <c r="C233" s="6">
        <f>IF(Form_Responses1[[#This Row],[gioi_tinh]]="Nữ", 0, 1)</f>
        <v>0</v>
      </c>
      <c r="D233" s="1" t="s">
        <v>20</v>
      </c>
      <c r="E233" s="6">
        <v>23.4</v>
      </c>
      <c r="F233" s="6">
        <f>IF(Form_Responses1[[#This Row],[dai_thao_duong]]="Không", 0, 1)</f>
        <v>0</v>
      </c>
      <c r="G233" s="1" t="s">
        <v>21</v>
      </c>
      <c r="H233" s="6">
        <f t="shared" si="6"/>
        <v>0</v>
      </c>
      <c r="I233" s="1" t="s">
        <v>21</v>
      </c>
      <c r="J233" s="6">
        <f>IF(Form_Responses1[[#This Row],[hoi_chung_vanh_man]]="Không", 0, 1)</f>
        <v>0</v>
      </c>
      <c r="K233" s="1" t="s">
        <v>21</v>
      </c>
      <c r="L233" s="6">
        <f>IF(Form_Responses1[[#This Row],[ckd]]="Không", 0, 1)</f>
        <v>0</v>
      </c>
      <c r="M233" s="1" t="s">
        <v>21</v>
      </c>
      <c r="N233" s="6">
        <f t="shared" si="7"/>
        <v>0</v>
      </c>
      <c r="O233" s="1" t="s">
        <v>21</v>
      </c>
      <c r="P233" s="6">
        <f>IF(Form_Responses1[[#This Row],[phan_loai_the_lam_sang]]="Suy tim mất bù cấp", 1,0)</f>
        <v>1</v>
      </c>
      <c r="Q233" s="6">
        <f>IF(Form_Responses1[[#This Row],[phan_loai_the_lam_sang]]="Phù phổi cấp", 1, 0)</f>
        <v>0</v>
      </c>
      <c r="R233" s="6">
        <f>IF(Form_Responses1[[#This Row],[phan_loai_the_lam_sang]]="Choáng tim", 1, 0)</f>
        <v>0</v>
      </c>
      <c r="S233" s="1" t="s">
        <v>23</v>
      </c>
      <c r="T233" s="6">
        <v>130</v>
      </c>
      <c r="U233" s="6">
        <v>90</v>
      </c>
      <c r="V233" s="6">
        <v>60</v>
      </c>
      <c r="W233" s="6">
        <f>IF(Form_Responses1[[#This Row],[hcvc]]="Không", 0, 1)</f>
        <v>0</v>
      </c>
      <c r="X233" s="1" t="s">
        <v>21</v>
      </c>
      <c r="Y233" s="6">
        <f>IF(Form_Responses1[[#This Row],[suy_ho_hap]]="Không", 0, 1)</f>
        <v>0</v>
      </c>
      <c r="Z233" s="1" t="s">
        <v>21</v>
      </c>
      <c r="AA233" s="6">
        <f>IF(Form_Responses1[[#This Row],[rung_nhi]]="Không", 0, 1)</f>
        <v>0</v>
      </c>
      <c r="AB233" s="1" t="s">
        <v>21</v>
      </c>
      <c r="AC233" s="6">
        <v>422</v>
      </c>
      <c r="AD233" s="6">
        <v>7.0000000000000007E-2</v>
      </c>
      <c r="AE233" s="6">
        <v>11.9</v>
      </c>
      <c r="AF233" s="6">
        <v>116</v>
      </c>
      <c r="AG233" s="6">
        <v>294</v>
      </c>
      <c r="AH233" s="6">
        <v>130</v>
      </c>
      <c r="AI233" s="6">
        <v>2.8</v>
      </c>
      <c r="AJ233" s="6">
        <v>11.2</v>
      </c>
      <c r="AK233" s="6">
        <v>0.81</v>
      </c>
      <c r="AL233" s="1" t="s">
        <v>21</v>
      </c>
      <c r="AM233" s="28">
        <v>6776</v>
      </c>
      <c r="AN233" s="6">
        <f>IF(Form_Responses1[[#This Row],[NT_proBNP &gt; 35000]]="Có", 35001, Form_Responses1[[#This Row],[NT_ProBNP]])</f>
        <v>6776</v>
      </c>
      <c r="AO233" s="27">
        <f>IF(Form_Responses1[[#This Row],[NT_proBNP &gt; 35000]]="Có", 1, 0)</f>
        <v>0</v>
      </c>
      <c r="AP233" s="6">
        <v>233.6</v>
      </c>
      <c r="AQ233" s="6">
        <v>58</v>
      </c>
      <c r="AR233" s="6">
        <v>148</v>
      </c>
      <c r="AS233" s="19"/>
      <c r="AT233" s="6">
        <v>29.9</v>
      </c>
      <c r="AU233" s="6">
        <v>47.4</v>
      </c>
      <c r="AV233" s="6">
        <v>50.6</v>
      </c>
      <c r="AW233" s="6">
        <v>24</v>
      </c>
      <c r="AX233" s="27">
        <v>38</v>
      </c>
      <c r="AY233" s="29">
        <f>IF(Form_Responses1[[#This Row],[ket_cuc]]="Không tử vong", 0, 1)</f>
        <v>0</v>
      </c>
      <c r="AZ233" s="1" t="s">
        <v>24</v>
      </c>
      <c r="BA233" s="32">
        <v>41</v>
      </c>
      <c r="BB233" s="32">
        <v>4.0935526419547154E-2</v>
      </c>
    </row>
    <row r="234" spans="1:54" ht="13" x14ac:dyDescent="0.15">
      <c r="A234" s="2" t="s">
        <v>167</v>
      </c>
      <c r="B234" s="15">
        <v>56</v>
      </c>
      <c r="C234" s="15">
        <f>IF(Form_Responses1[[#This Row],[gioi_tinh]]="Nữ", 0, 1)</f>
        <v>0</v>
      </c>
      <c r="D234" s="2" t="s">
        <v>20</v>
      </c>
      <c r="E234" s="15">
        <v>23.6</v>
      </c>
      <c r="F234" s="15">
        <f>IF(Form_Responses1[[#This Row],[dai_thao_duong]]="Không", 0, 1)</f>
        <v>1</v>
      </c>
      <c r="G234" s="2" t="s">
        <v>22</v>
      </c>
      <c r="H234" s="15">
        <f t="shared" si="6"/>
        <v>0</v>
      </c>
      <c r="I234" s="2" t="s">
        <v>21</v>
      </c>
      <c r="J234" s="15">
        <f>IF(Form_Responses1[[#This Row],[hoi_chung_vanh_man]]="Không", 0, 1)</f>
        <v>0</v>
      </c>
      <c r="K234" s="2" t="s">
        <v>21</v>
      </c>
      <c r="L234" s="15">
        <f>IF(Form_Responses1[[#This Row],[ckd]]="Không", 0, 1)</f>
        <v>0</v>
      </c>
      <c r="M234" s="2" t="s">
        <v>21</v>
      </c>
      <c r="N234" s="15">
        <f t="shared" si="7"/>
        <v>0</v>
      </c>
      <c r="O234" s="2" t="s">
        <v>21</v>
      </c>
      <c r="P234" s="15">
        <f>IF(Form_Responses1[[#This Row],[phan_loai_the_lam_sang]]="Suy tim mất bù cấp", 1,0)</f>
        <v>1</v>
      </c>
      <c r="Q234" s="15">
        <f>IF(Form_Responses1[[#This Row],[phan_loai_the_lam_sang]]="Phù phổi cấp", 1, 0)</f>
        <v>0</v>
      </c>
      <c r="R234" s="15">
        <f>IF(Form_Responses1[[#This Row],[phan_loai_the_lam_sang]]="Choáng tim", 1, 0)</f>
        <v>0</v>
      </c>
      <c r="S234" s="2" t="s">
        <v>23</v>
      </c>
      <c r="T234" s="15">
        <v>110</v>
      </c>
      <c r="U234" s="15">
        <v>150</v>
      </c>
      <c r="V234" s="15">
        <v>80</v>
      </c>
      <c r="W234" s="15">
        <f>IF(Form_Responses1[[#This Row],[hcvc]]="Không", 0, 1)</f>
        <v>0</v>
      </c>
      <c r="X234" s="2" t="s">
        <v>21</v>
      </c>
      <c r="Y234" s="15">
        <f>IF(Form_Responses1[[#This Row],[suy_ho_hap]]="Không", 0, 1)</f>
        <v>1</v>
      </c>
      <c r="Z234" s="2" t="s">
        <v>22</v>
      </c>
      <c r="AA234" s="15">
        <f>IF(Form_Responses1[[#This Row],[rung_nhi]]="Không", 0, 1)</f>
        <v>0</v>
      </c>
      <c r="AB234" s="2" t="s">
        <v>21</v>
      </c>
      <c r="AC234" s="15">
        <v>413</v>
      </c>
      <c r="AD234" s="15">
        <v>7.0000000000000007E-2</v>
      </c>
      <c r="AE234" s="15">
        <v>9.8000000000000007</v>
      </c>
      <c r="AF234" s="15">
        <v>97</v>
      </c>
      <c r="AG234" s="15">
        <v>324</v>
      </c>
      <c r="AH234" s="15">
        <v>134</v>
      </c>
      <c r="AI234" s="15">
        <v>3.5</v>
      </c>
      <c r="AJ234" s="15">
        <v>60</v>
      </c>
      <c r="AK234" s="15">
        <v>2.0499999999999998</v>
      </c>
      <c r="AL234" s="2" t="s">
        <v>22</v>
      </c>
      <c r="AN234" s="6">
        <f>IF(Form_Responses1[[#This Row],[NT_proBNP &gt; 35000]]="Có", 35001, Form_Responses1[[#This Row],[NT_ProBNP]])</f>
        <v>35001</v>
      </c>
      <c r="AO234" s="5">
        <f>IF(Form_Responses1[[#This Row],[NT_proBNP &gt; 35000]]="Có", 1, 0)</f>
        <v>1</v>
      </c>
      <c r="AP234" s="15">
        <v>235.6</v>
      </c>
      <c r="AQ234" s="15">
        <v>19</v>
      </c>
      <c r="AR234" s="15">
        <v>15</v>
      </c>
      <c r="AS234" s="15">
        <v>163</v>
      </c>
      <c r="AT234" s="15">
        <v>32</v>
      </c>
      <c r="AU234" s="15">
        <v>37</v>
      </c>
      <c r="AV234" s="15">
        <v>46</v>
      </c>
      <c r="AW234" s="15">
        <v>24</v>
      </c>
      <c r="AX234" s="15">
        <v>35</v>
      </c>
      <c r="AY234" s="22">
        <f>IF(Form_Responses1[[#This Row],[ket_cuc]]="Không tử vong", 0, 1)</f>
        <v>0</v>
      </c>
      <c r="AZ234" s="2" t="s">
        <v>24</v>
      </c>
      <c r="BA234" s="32">
        <v>44</v>
      </c>
      <c r="BB234" s="32">
        <v>0.12672844480050169</v>
      </c>
    </row>
    <row r="235" spans="1:54" ht="13" x14ac:dyDescent="0.15">
      <c r="A235" s="1" t="s">
        <v>332</v>
      </c>
      <c r="B235" s="6">
        <v>63</v>
      </c>
      <c r="C235" s="6">
        <f>IF(Form_Responses1[[#This Row],[gioi_tinh]]="Nữ", 0, 1)</f>
        <v>1</v>
      </c>
      <c r="D235" s="1" t="s">
        <v>26</v>
      </c>
      <c r="E235" s="6">
        <v>20.2</v>
      </c>
      <c r="F235" s="6">
        <f>IF(Form_Responses1[[#This Row],[dai_thao_duong]]="Không", 0, 1)</f>
        <v>0</v>
      </c>
      <c r="G235" s="1" t="s">
        <v>21</v>
      </c>
      <c r="H235" s="6">
        <f t="shared" si="6"/>
        <v>0</v>
      </c>
      <c r="I235" s="1" t="s">
        <v>21</v>
      </c>
      <c r="J235" s="6">
        <f>IF(Form_Responses1[[#This Row],[hoi_chung_vanh_man]]="Không", 0, 1)</f>
        <v>0</v>
      </c>
      <c r="K235" s="1" t="s">
        <v>21</v>
      </c>
      <c r="L235" s="6">
        <f>IF(Form_Responses1[[#This Row],[ckd]]="Không", 0, 1)</f>
        <v>0</v>
      </c>
      <c r="M235" s="1" t="s">
        <v>21</v>
      </c>
      <c r="N235" s="6">
        <f t="shared" si="7"/>
        <v>0</v>
      </c>
      <c r="O235" s="1" t="s">
        <v>21</v>
      </c>
      <c r="P235" s="6">
        <f>IF(Form_Responses1[[#This Row],[phan_loai_the_lam_sang]]="Suy tim mất bù cấp", 1,0)</f>
        <v>1</v>
      </c>
      <c r="Q235" s="6">
        <f>IF(Form_Responses1[[#This Row],[phan_loai_the_lam_sang]]="Phù phổi cấp", 1, 0)</f>
        <v>0</v>
      </c>
      <c r="R235" s="6">
        <f>IF(Form_Responses1[[#This Row],[phan_loai_the_lam_sang]]="Choáng tim", 1, 0)</f>
        <v>0</v>
      </c>
      <c r="S235" s="1" t="s">
        <v>23</v>
      </c>
      <c r="T235" s="6">
        <v>75</v>
      </c>
      <c r="U235" s="6">
        <v>100</v>
      </c>
      <c r="V235" s="6">
        <v>60</v>
      </c>
      <c r="W235" s="6">
        <f>IF(Form_Responses1[[#This Row],[hcvc]]="Không", 0, 1)</f>
        <v>0</v>
      </c>
      <c r="X235" s="1" t="s">
        <v>21</v>
      </c>
      <c r="Y235" s="6">
        <f>IF(Form_Responses1[[#This Row],[suy_ho_hap]]="Không", 0, 1)</f>
        <v>0</v>
      </c>
      <c r="Z235" s="1" t="s">
        <v>21</v>
      </c>
      <c r="AA235" s="6">
        <f>IF(Form_Responses1[[#This Row],[rung_nhi]]="Không", 0, 1)</f>
        <v>0</v>
      </c>
      <c r="AB235" s="1" t="s">
        <v>21</v>
      </c>
      <c r="AC235" s="6">
        <v>425</v>
      </c>
      <c r="AD235" s="6">
        <v>0.13</v>
      </c>
      <c r="AE235" s="6">
        <v>10.93</v>
      </c>
      <c r="AF235" s="6">
        <v>103</v>
      </c>
      <c r="AG235" s="6">
        <v>182</v>
      </c>
      <c r="AH235" s="6">
        <v>118</v>
      </c>
      <c r="AI235" s="6">
        <v>4.2</v>
      </c>
      <c r="AJ235" s="6">
        <v>87</v>
      </c>
      <c r="AK235" s="6">
        <v>1.48</v>
      </c>
      <c r="AL235" s="1" t="s">
        <v>22</v>
      </c>
      <c r="AM235" s="10"/>
      <c r="AN235" s="6">
        <f>IF(Form_Responses1[[#This Row],[NT_proBNP &gt; 35000]]="Có", 35001, Form_Responses1[[#This Row],[NT_ProBNP]])</f>
        <v>35001</v>
      </c>
      <c r="AO235" s="13">
        <f>IF(Form_Responses1[[#This Row],[NT_proBNP &gt; 35000]]="Có", 1, 0)</f>
        <v>1</v>
      </c>
      <c r="AP235" s="6">
        <v>663.65</v>
      </c>
      <c r="AQ235" s="6">
        <v>1354</v>
      </c>
      <c r="AR235" s="6">
        <v>2553</v>
      </c>
      <c r="AS235" s="6">
        <v>165</v>
      </c>
      <c r="AT235" s="27">
        <v>35</v>
      </c>
      <c r="AU235" s="27">
        <v>67</v>
      </c>
      <c r="AV235" s="27">
        <v>76</v>
      </c>
      <c r="AW235" s="6">
        <v>24</v>
      </c>
      <c r="AX235" s="27">
        <v>60</v>
      </c>
      <c r="AY235" s="29">
        <f>IF(Form_Responses1[[#This Row],[ket_cuc]]="Không tử vong", 0, 1)</f>
        <v>0</v>
      </c>
      <c r="AZ235" s="1" t="s">
        <v>24</v>
      </c>
      <c r="BA235" s="32">
        <v>55</v>
      </c>
      <c r="BB235" s="32">
        <v>0.22605893284225811</v>
      </c>
    </row>
    <row r="236" spans="1:54" ht="13" x14ac:dyDescent="0.15">
      <c r="A236" s="2" t="s">
        <v>214</v>
      </c>
      <c r="B236" s="15">
        <v>72</v>
      </c>
      <c r="C236" s="15">
        <f>IF(Form_Responses1[[#This Row],[gioi_tinh]]="Nữ", 0, 1)</f>
        <v>0</v>
      </c>
      <c r="D236" s="2" t="s">
        <v>20</v>
      </c>
      <c r="E236" s="15">
        <v>20</v>
      </c>
      <c r="F236" s="15">
        <f>IF(Form_Responses1[[#This Row],[dai_thao_duong]]="Không", 0, 1)</f>
        <v>1</v>
      </c>
      <c r="G236" s="2" t="s">
        <v>22</v>
      </c>
      <c r="H236" s="15">
        <f t="shared" si="6"/>
        <v>1</v>
      </c>
      <c r="I236" s="2" t="s">
        <v>22</v>
      </c>
      <c r="J236" s="15">
        <f>IF(Form_Responses1[[#This Row],[hoi_chung_vanh_man]]="Không", 0, 1)</f>
        <v>0</v>
      </c>
      <c r="K236" s="2" t="s">
        <v>21</v>
      </c>
      <c r="L236" s="15">
        <f>IF(Form_Responses1[[#This Row],[ckd]]="Không", 0, 1)</f>
        <v>0</v>
      </c>
      <c r="M236" s="2" t="s">
        <v>21</v>
      </c>
      <c r="N236" s="15">
        <f t="shared" si="7"/>
        <v>0</v>
      </c>
      <c r="O236" s="2" t="s">
        <v>21</v>
      </c>
      <c r="P236" s="15">
        <f>IF(Form_Responses1[[#This Row],[phan_loai_the_lam_sang]]="Suy tim mất bù cấp", 1,0)</f>
        <v>1</v>
      </c>
      <c r="Q236" s="15">
        <f>IF(Form_Responses1[[#This Row],[phan_loai_the_lam_sang]]="Phù phổi cấp", 1, 0)</f>
        <v>0</v>
      </c>
      <c r="R236" s="15">
        <f>IF(Form_Responses1[[#This Row],[phan_loai_the_lam_sang]]="Choáng tim", 1, 0)</f>
        <v>0</v>
      </c>
      <c r="S236" s="2" t="s">
        <v>23</v>
      </c>
      <c r="T236" s="15">
        <v>118</v>
      </c>
      <c r="U236" s="15">
        <v>130</v>
      </c>
      <c r="V236" s="15">
        <v>80</v>
      </c>
      <c r="W236" s="15">
        <f>IF(Form_Responses1[[#This Row],[hcvc]]="Không", 0, 1)</f>
        <v>1</v>
      </c>
      <c r="X236" s="2" t="s">
        <v>22</v>
      </c>
      <c r="Y236" s="15">
        <f>IF(Form_Responses1[[#This Row],[suy_ho_hap]]="Không", 0, 1)</f>
        <v>1</v>
      </c>
      <c r="Z236" s="2" t="s">
        <v>22</v>
      </c>
      <c r="AA236" s="15">
        <f>IF(Form_Responses1[[#This Row],[rung_nhi]]="Không", 0, 1)</f>
        <v>0</v>
      </c>
      <c r="AB236" s="2" t="s">
        <v>21</v>
      </c>
      <c r="AC236" s="15">
        <v>388</v>
      </c>
      <c r="AD236" s="15">
        <v>7.0000000000000007E-2</v>
      </c>
      <c r="AE236" s="15">
        <v>20.8</v>
      </c>
      <c r="AF236" s="15">
        <v>144</v>
      </c>
      <c r="AG236" s="15">
        <v>310</v>
      </c>
      <c r="AH236" s="15">
        <v>141</v>
      </c>
      <c r="AI236" s="15">
        <v>4.2</v>
      </c>
      <c r="AJ236" s="15">
        <v>13</v>
      </c>
      <c r="AK236" s="15">
        <v>0.78</v>
      </c>
      <c r="AL236" s="2" t="s">
        <v>21</v>
      </c>
      <c r="AM236" s="2">
        <v>21332.98</v>
      </c>
      <c r="AN236" s="6">
        <f>IF(Form_Responses1[[#This Row],[NT_proBNP &gt; 35000]]="Có", 35001, Form_Responses1[[#This Row],[NT_ProBNP]])</f>
        <v>21332.98</v>
      </c>
      <c r="AO236" s="15">
        <f>IF(Form_Responses1[[#This Row],[NT_proBNP &gt; 35000]]="Có", 1, 0)</f>
        <v>0</v>
      </c>
      <c r="AP236" s="15">
        <v>4467.2</v>
      </c>
      <c r="AQ236" s="15">
        <v>76</v>
      </c>
      <c r="AR236" s="15">
        <v>50</v>
      </c>
      <c r="AS236" s="15">
        <v>355</v>
      </c>
      <c r="AT236" s="18"/>
      <c r="AU236" s="15">
        <v>51.9</v>
      </c>
      <c r="AV236" s="15">
        <v>58.9</v>
      </c>
      <c r="AW236" s="15">
        <v>24</v>
      </c>
      <c r="AX236" s="15">
        <v>22</v>
      </c>
      <c r="AY236" s="22">
        <f>IF(Form_Responses1[[#This Row],[ket_cuc]]="Không tử vong", 0, 1)</f>
        <v>0</v>
      </c>
      <c r="AZ236" s="2" t="s">
        <v>24</v>
      </c>
      <c r="BA236" s="32">
        <v>43</v>
      </c>
      <c r="BB236" s="32">
        <v>8.6195396145534217E-2</v>
      </c>
    </row>
    <row r="237" spans="1:54" ht="13" x14ac:dyDescent="0.15">
      <c r="A237" s="1" t="s">
        <v>50</v>
      </c>
      <c r="B237" s="6">
        <v>52</v>
      </c>
      <c r="C237" s="6">
        <f>IF(Form_Responses1[[#This Row],[gioi_tinh]]="Nữ", 0, 1)</f>
        <v>1</v>
      </c>
      <c r="D237" s="1" t="s">
        <v>26</v>
      </c>
      <c r="E237" s="6">
        <v>21.3</v>
      </c>
      <c r="F237" s="6">
        <f>IF(Form_Responses1[[#This Row],[dai_thao_duong]]="Không", 0, 1)</f>
        <v>1</v>
      </c>
      <c r="G237" s="1" t="s">
        <v>22</v>
      </c>
      <c r="H237" s="6">
        <f t="shared" si="6"/>
        <v>1</v>
      </c>
      <c r="I237" s="1" t="s">
        <v>22</v>
      </c>
      <c r="J237" s="6">
        <f>IF(Form_Responses1[[#This Row],[hoi_chung_vanh_man]]="Không", 0, 1)</f>
        <v>1</v>
      </c>
      <c r="K237" s="1" t="s">
        <v>22</v>
      </c>
      <c r="L237" s="6">
        <f>IF(Form_Responses1[[#This Row],[ckd]]="Không", 0, 1)</f>
        <v>1</v>
      </c>
      <c r="M237" s="1" t="s">
        <v>22</v>
      </c>
      <c r="N237" s="6">
        <f t="shared" si="7"/>
        <v>0</v>
      </c>
      <c r="O237" s="1" t="s">
        <v>21</v>
      </c>
      <c r="P237" s="6">
        <f>IF(Form_Responses1[[#This Row],[phan_loai_the_lam_sang]]="Suy tim mất bù cấp", 1,0)</f>
        <v>1</v>
      </c>
      <c r="Q237" s="6">
        <f>IF(Form_Responses1[[#This Row],[phan_loai_the_lam_sang]]="Phù phổi cấp", 1, 0)</f>
        <v>0</v>
      </c>
      <c r="R237" s="6">
        <f>IF(Form_Responses1[[#This Row],[phan_loai_the_lam_sang]]="Choáng tim", 1, 0)</f>
        <v>0</v>
      </c>
      <c r="S237" s="1" t="s">
        <v>23</v>
      </c>
      <c r="T237" s="6">
        <v>128</v>
      </c>
      <c r="U237" s="6">
        <v>150</v>
      </c>
      <c r="V237" s="6">
        <v>80</v>
      </c>
      <c r="W237" s="6">
        <f>IF(Form_Responses1[[#This Row],[hcvc]]="Không", 0, 1)</f>
        <v>0</v>
      </c>
      <c r="X237" s="1" t="s">
        <v>21</v>
      </c>
      <c r="Y237" s="6">
        <f>IF(Form_Responses1[[#This Row],[suy_ho_hap]]="Không", 0, 1)</f>
        <v>1</v>
      </c>
      <c r="Z237" s="1" t="s">
        <v>22</v>
      </c>
      <c r="AA237" s="6">
        <f>IF(Form_Responses1[[#This Row],[rung_nhi]]="Không", 0, 1)</f>
        <v>0</v>
      </c>
      <c r="AB237" s="1" t="s">
        <v>21</v>
      </c>
      <c r="AC237" s="6">
        <v>346</v>
      </c>
      <c r="AD237" s="6">
        <v>0.06</v>
      </c>
      <c r="AE237" s="6">
        <v>8.86</v>
      </c>
      <c r="AF237" s="6">
        <v>93</v>
      </c>
      <c r="AG237" s="6">
        <v>172</v>
      </c>
      <c r="AH237" s="6">
        <v>135</v>
      </c>
      <c r="AI237" s="6">
        <v>3.8</v>
      </c>
      <c r="AJ237" s="6">
        <v>67</v>
      </c>
      <c r="AK237" s="6">
        <v>7.8</v>
      </c>
      <c r="AL237" s="1" t="s">
        <v>22</v>
      </c>
      <c r="AM237" s="10"/>
      <c r="AN237" s="6">
        <f>IF(Form_Responses1[[#This Row],[NT_proBNP &gt; 35000]]="Có", 35001, Form_Responses1[[#This Row],[NT_ProBNP]])</f>
        <v>35001</v>
      </c>
      <c r="AO237" s="13">
        <f>IF(Form_Responses1[[#This Row],[NT_proBNP &gt; 35000]]="Có", 1, 0)</f>
        <v>1</v>
      </c>
      <c r="AP237" s="6">
        <v>4759.6899999999996</v>
      </c>
      <c r="AQ237" s="6">
        <v>27</v>
      </c>
      <c r="AR237" s="6">
        <v>13</v>
      </c>
      <c r="AS237" s="6">
        <v>98</v>
      </c>
      <c r="AT237" s="13"/>
      <c r="AU237" s="6">
        <v>39.9</v>
      </c>
      <c r="AV237" s="6">
        <v>50.2</v>
      </c>
      <c r="AW237" s="6">
        <v>24</v>
      </c>
      <c r="AY237" s="25">
        <f>IF(Form_Responses1[[#This Row],[ket_cuc]]="Không tử vong", 0, 1)</f>
        <v>0</v>
      </c>
      <c r="AZ237" s="1" t="s">
        <v>24</v>
      </c>
      <c r="BA237" s="32">
        <v>44</v>
      </c>
      <c r="BB237" s="32">
        <v>0.15960097698359169</v>
      </c>
    </row>
    <row r="238" spans="1:54" ht="13" x14ac:dyDescent="0.15">
      <c r="A238" s="2" t="s">
        <v>37</v>
      </c>
      <c r="B238" s="15">
        <v>44</v>
      </c>
      <c r="C238" s="15">
        <f>IF(Form_Responses1[[#This Row],[gioi_tinh]]="Nữ", 0, 1)</f>
        <v>1</v>
      </c>
      <c r="D238" s="2" t="s">
        <v>26</v>
      </c>
      <c r="E238" s="15">
        <v>21.5</v>
      </c>
      <c r="F238" s="15">
        <f>IF(Form_Responses1[[#This Row],[dai_thao_duong]]="Không", 0, 1)</f>
        <v>0</v>
      </c>
      <c r="G238" s="2" t="s">
        <v>21</v>
      </c>
      <c r="H238" s="15">
        <f t="shared" si="6"/>
        <v>0</v>
      </c>
      <c r="I238" s="2" t="s">
        <v>21</v>
      </c>
      <c r="J238" s="15">
        <f>IF(Form_Responses1[[#This Row],[hoi_chung_vanh_man]]="Không", 0, 1)</f>
        <v>0</v>
      </c>
      <c r="K238" s="2" t="s">
        <v>21</v>
      </c>
      <c r="L238" s="15">
        <f>IF(Form_Responses1[[#This Row],[ckd]]="Không", 0, 1)</f>
        <v>0</v>
      </c>
      <c r="M238" s="2" t="s">
        <v>21</v>
      </c>
      <c r="N238" s="15">
        <f t="shared" si="7"/>
        <v>0</v>
      </c>
      <c r="O238" s="2" t="s">
        <v>21</v>
      </c>
      <c r="P238" s="15">
        <f>IF(Form_Responses1[[#This Row],[phan_loai_the_lam_sang]]="Suy tim mất bù cấp", 1,0)</f>
        <v>1</v>
      </c>
      <c r="Q238" s="15">
        <f>IF(Form_Responses1[[#This Row],[phan_loai_the_lam_sang]]="Phù phổi cấp", 1, 0)</f>
        <v>0</v>
      </c>
      <c r="R238" s="15">
        <f>IF(Form_Responses1[[#This Row],[phan_loai_the_lam_sang]]="Choáng tim", 1, 0)</f>
        <v>0</v>
      </c>
      <c r="S238" s="2" t="s">
        <v>23</v>
      </c>
      <c r="T238" s="15">
        <v>87</v>
      </c>
      <c r="U238" s="15">
        <v>130</v>
      </c>
      <c r="V238" s="15">
        <v>90</v>
      </c>
      <c r="W238" s="15">
        <f>IF(Form_Responses1[[#This Row],[hcvc]]="Không", 0, 1)</f>
        <v>0</v>
      </c>
      <c r="X238" s="2" t="s">
        <v>21</v>
      </c>
      <c r="Y238" s="15">
        <f>IF(Form_Responses1[[#This Row],[suy_ho_hap]]="Không", 0, 1)</f>
        <v>0</v>
      </c>
      <c r="Z238" s="2" t="s">
        <v>21</v>
      </c>
      <c r="AA238" s="15">
        <f>IF(Form_Responses1[[#This Row],[rung_nhi]]="Không", 0, 1)</f>
        <v>1</v>
      </c>
      <c r="AB238" s="2" t="s">
        <v>22</v>
      </c>
      <c r="AC238" s="15">
        <v>485</v>
      </c>
      <c r="AD238" s="15">
        <v>0.12</v>
      </c>
      <c r="AE238" s="15">
        <v>6.22</v>
      </c>
      <c r="AF238" s="15">
        <v>121</v>
      </c>
      <c r="AG238" s="15">
        <v>229</v>
      </c>
      <c r="AH238" s="15">
        <v>133</v>
      </c>
      <c r="AI238" s="15">
        <v>3.6</v>
      </c>
      <c r="AJ238" s="15">
        <v>9.8000000000000007</v>
      </c>
      <c r="AK238" s="15">
        <v>0.87</v>
      </c>
      <c r="AL238" s="2" t="s">
        <v>21</v>
      </c>
      <c r="AM238" s="2">
        <v>1821</v>
      </c>
      <c r="AN238" s="6">
        <f>IF(Form_Responses1[[#This Row],[NT_proBNP &gt; 35000]]="Có", 35001, Form_Responses1[[#This Row],[NT_ProBNP]])</f>
        <v>1821</v>
      </c>
      <c r="AO238" s="15">
        <f>IF(Form_Responses1[[#This Row],[NT_proBNP &gt; 35000]]="Có", 1, 0)</f>
        <v>0</v>
      </c>
      <c r="AP238" s="18"/>
      <c r="AQ238" s="15">
        <v>55</v>
      </c>
      <c r="AR238" s="15">
        <v>30</v>
      </c>
      <c r="AS238" s="18"/>
      <c r="AT238" s="15">
        <v>57</v>
      </c>
      <c r="AU238" s="15">
        <v>52</v>
      </c>
      <c r="AV238" s="15">
        <v>59</v>
      </c>
      <c r="AW238" s="15">
        <v>24</v>
      </c>
      <c r="AX238" s="27">
        <v>55</v>
      </c>
      <c r="AY238" s="29">
        <f>IF(Form_Responses1[[#This Row],[ket_cuc]]="Không tử vong", 0, 1)</f>
        <v>0</v>
      </c>
      <c r="AZ238" s="2" t="s">
        <v>24</v>
      </c>
      <c r="BA238" s="32">
        <v>30</v>
      </c>
      <c r="BB238" s="32">
        <v>2.1178972251803967E-2</v>
      </c>
    </row>
    <row r="239" spans="1:54" ht="13" x14ac:dyDescent="0.15">
      <c r="A239" s="1" t="s">
        <v>74</v>
      </c>
      <c r="B239" s="6">
        <v>59</v>
      </c>
      <c r="C239" s="6">
        <f>IF(Form_Responses1[[#This Row],[gioi_tinh]]="Nữ", 0, 1)</f>
        <v>1</v>
      </c>
      <c r="D239" s="1" t="s">
        <v>26</v>
      </c>
      <c r="E239" s="6">
        <v>19.5</v>
      </c>
      <c r="F239" s="6">
        <f>IF(Form_Responses1[[#This Row],[dai_thao_duong]]="Không", 0, 1)</f>
        <v>0</v>
      </c>
      <c r="G239" s="1" t="s">
        <v>21</v>
      </c>
      <c r="H239" s="6">
        <f t="shared" si="6"/>
        <v>0</v>
      </c>
      <c r="I239" s="1" t="s">
        <v>21</v>
      </c>
      <c r="J239" s="6">
        <f>IF(Form_Responses1[[#This Row],[hoi_chung_vanh_man]]="Không", 0, 1)</f>
        <v>1</v>
      </c>
      <c r="K239" s="1" t="s">
        <v>22</v>
      </c>
      <c r="L239" s="6">
        <f>IF(Form_Responses1[[#This Row],[ckd]]="Không", 0, 1)</f>
        <v>0</v>
      </c>
      <c r="M239" s="1" t="s">
        <v>21</v>
      </c>
      <c r="N239" s="6">
        <f t="shared" si="7"/>
        <v>0</v>
      </c>
      <c r="O239" s="1" t="s">
        <v>21</v>
      </c>
      <c r="P239" s="6">
        <f>IF(Form_Responses1[[#This Row],[phan_loai_the_lam_sang]]="Suy tim mất bù cấp", 1,0)</f>
        <v>0</v>
      </c>
      <c r="Q239" s="6">
        <f>IF(Form_Responses1[[#This Row],[phan_loai_the_lam_sang]]="Phù phổi cấp", 1, 0)</f>
        <v>0</v>
      </c>
      <c r="R239" s="6">
        <f>IF(Form_Responses1[[#This Row],[phan_loai_the_lam_sang]]="Choáng tim", 1, 0)</f>
        <v>1</v>
      </c>
      <c r="S239" s="1" t="s">
        <v>28</v>
      </c>
      <c r="T239" s="6">
        <v>96</v>
      </c>
      <c r="U239" s="6">
        <v>70</v>
      </c>
      <c r="V239" s="6">
        <v>40</v>
      </c>
      <c r="W239" s="6">
        <f>IF(Form_Responses1[[#This Row],[hcvc]]="Không", 0, 1)</f>
        <v>0</v>
      </c>
      <c r="X239" s="1" t="s">
        <v>21</v>
      </c>
      <c r="Y239" s="6">
        <f>IF(Form_Responses1[[#This Row],[suy_ho_hap]]="Không", 0, 1)</f>
        <v>0</v>
      </c>
      <c r="Z239" s="1" t="s">
        <v>21</v>
      </c>
      <c r="AA239" s="6">
        <f>IF(Form_Responses1[[#This Row],[rung_nhi]]="Không", 0, 1)</f>
        <v>0</v>
      </c>
      <c r="AB239" s="1" t="s">
        <v>21</v>
      </c>
      <c r="AC239" s="6">
        <v>450</v>
      </c>
      <c r="AD239" s="6">
        <v>0.06</v>
      </c>
      <c r="AE239" s="6">
        <v>7.89</v>
      </c>
      <c r="AF239" s="6">
        <v>138</v>
      </c>
      <c r="AG239" s="6">
        <v>169</v>
      </c>
      <c r="AH239" s="6">
        <v>128</v>
      </c>
      <c r="AI239" s="6">
        <v>4.5</v>
      </c>
      <c r="AJ239" s="6">
        <v>43</v>
      </c>
      <c r="AK239" s="6">
        <v>1.75</v>
      </c>
      <c r="AL239" s="1" t="s">
        <v>21</v>
      </c>
      <c r="AM239" s="1">
        <v>9866</v>
      </c>
      <c r="AN239" s="6">
        <f>IF(Form_Responses1[[#This Row],[NT_proBNP &gt; 35000]]="Có", 35001, Form_Responses1[[#This Row],[NT_ProBNP]])</f>
        <v>9866</v>
      </c>
      <c r="AO239" s="6">
        <f>IF(Form_Responses1[[#This Row],[NT_proBNP &gt; 35000]]="Có", 1, 0)</f>
        <v>0</v>
      </c>
      <c r="AP239" s="6">
        <v>65.75</v>
      </c>
      <c r="AQ239" s="6">
        <v>57</v>
      </c>
      <c r="AR239" s="6">
        <v>40</v>
      </c>
      <c r="AS239" s="6">
        <v>130</v>
      </c>
      <c r="AT239" s="27">
        <v>32</v>
      </c>
      <c r="AU239" s="6">
        <v>37.1</v>
      </c>
      <c r="AV239" s="6">
        <v>44.3</v>
      </c>
      <c r="AW239" s="6">
        <v>24</v>
      </c>
      <c r="AX239" s="27">
        <v>37</v>
      </c>
      <c r="AY239" s="29">
        <f>IF(Form_Responses1[[#This Row],[ket_cuc]]="Không tử vong", 0, 1)</f>
        <v>0</v>
      </c>
      <c r="AZ239" s="1" t="s">
        <v>24</v>
      </c>
      <c r="BA239" s="32">
        <v>55</v>
      </c>
      <c r="BB239" s="32">
        <v>0.16526004246686521</v>
      </c>
    </row>
    <row r="240" spans="1:54" ht="13" x14ac:dyDescent="0.15">
      <c r="A240" s="2" t="s">
        <v>62</v>
      </c>
      <c r="B240" s="15">
        <v>52</v>
      </c>
      <c r="C240" s="15">
        <f>IF(Form_Responses1[[#This Row],[gioi_tinh]]="Nữ", 0, 1)</f>
        <v>0</v>
      </c>
      <c r="D240" s="2" t="s">
        <v>20</v>
      </c>
      <c r="E240" s="15">
        <v>19</v>
      </c>
      <c r="F240" s="15">
        <f>IF(Form_Responses1[[#This Row],[dai_thao_duong]]="Không", 0, 1)</f>
        <v>0</v>
      </c>
      <c r="G240" s="2" t="s">
        <v>21</v>
      </c>
      <c r="H240" s="15">
        <f t="shared" si="6"/>
        <v>1</v>
      </c>
      <c r="I240" s="2" t="s">
        <v>22</v>
      </c>
      <c r="J240" s="15">
        <f>IF(Form_Responses1[[#This Row],[hoi_chung_vanh_man]]="Không", 0, 1)</f>
        <v>1</v>
      </c>
      <c r="K240" s="2" t="s">
        <v>22</v>
      </c>
      <c r="L240" s="15">
        <f>IF(Form_Responses1[[#This Row],[ckd]]="Không", 0, 1)</f>
        <v>0</v>
      </c>
      <c r="M240" s="2" t="s">
        <v>21</v>
      </c>
      <c r="N240" s="15">
        <f t="shared" si="7"/>
        <v>0</v>
      </c>
      <c r="O240" s="2" t="s">
        <v>21</v>
      </c>
      <c r="P240" s="15">
        <f>IF(Form_Responses1[[#This Row],[phan_loai_the_lam_sang]]="Suy tim mất bù cấp", 1,0)</f>
        <v>0</v>
      </c>
      <c r="Q240" s="15">
        <f>IF(Form_Responses1[[#This Row],[phan_loai_the_lam_sang]]="Phù phổi cấp", 1, 0)</f>
        <v>0</v>
      </c>
      <c r="R240" s="15">
        <f>IF(Form_Responses1[[#This Row],[phan_loai_the_lam_sang]]="Choáng tim", 1, 0)</f>
        <v>1</v>
      </c>
      <c r="S240" s="2" t="s">
        <v>28</v>
      </c>
      <c r="T240" s="15">
        <v>148</v>
      </c>
      <c r="U240" s="15">
        <v>120</v>
      </c>
      <c r="V240" s="15">
        <v>80</v>
      </c>
      <c r="W240" s="15">
        <f>IF(Form_Responses1[[#This Row],[hcvc]]="Không", 0, 1)</f>
        <v>1</v>
      </c>
      <c r="X240" s="2" t="s">
        <v>22</v>
      </c>
      <c r="Y240" s="15">
        <f>IF(Form_Responses1[[#This Row],[suy_ho_hap]]="Không", 0, 1)</f>
        <v>1</v>
      </c>
      <c r="Z240" s="2" t="s">
        <v>22</v>
      </c>
      <c r="AA240" s="15">
        <f>IF(Form_Responses1[[#This Row],[rung_nhi]]="Không", 0, 1)</f>
        <v>0</v>
      </c>
      <c r="AB240" s="2" t="s">
        <v>21</v>
      </c>
      <c r="AC240" s="15">
        <v>391</v>
      </c>
      <c r="AD240" s="15">
        <v>7.0000000000000007E-2</v>
      </c>
      <c r="AE240" s="15">
        <v>13.62</v>
      </c>
      <c r="AF240" s="15">
        <v>103</v>
      </c>
      <c r="AG240" s="15">
        <v>501</v>
      </c>
      <c r="AH240" s="15">
        <v>144</v>
      </c>
      <c r="AI240" s="15">
        <v>3.6</v>
      </c>
      <c r="AJ240" s="15">
        <v>14</v>
      </c>
      <c r="AK240" s="15">
        <v>1.18</v>
      </c>
      <c r="AL240" s="2" t="s">
        <v>22</v>
      </c>
      <c r="AM240" s="12"/>
      <c r="AN240" s="6">
        <f>IF(Form_Responses1[[#This Row],[NT_proBNP &gt; 35000]]="Có", 35001, Form_Responses1[[#This Row],[NT_ProBNP]])</f>
        <v>35001</v>
      </c>
      <c r="AO240" s="18">
        <f>IF(Form_Responses1[[#This Row],[NT_proBNP &gt; 35000]]="Có", 1, 0)</f>
        <v>1</v>
      </c>
      <c r="AP240" s="15">
        <v>6562.39</v>
      </c>
      <c r="AQ240" s="15">
        <v>72</v>
      </c>
      <c r="AR240" s="15">
        <v>34</v>
      </c>
      <c r="AS240" s="27">
        <v>182</v>
      </c>
      <c r="AT240" s="18"/>
      <c r="AU240" s="15">
        <v>33.6</v>
      </c>
      <c r="AV240" s="15">
        <v>39.700000000000003</v>
      </c>
      <c r="AW240" s="15">
        <v>24</v>
      </c>
      <c r="AX240" s="15">
        <v>44</v>
      </c>
      <c r="AY240" s="22">
        <f>IF(Form_Responses1[[#This Row],[ket_cuc]]="Không tử vong", 0, 1)</f>
        <v>0</v>
      </c>
      <c r="AZ240" s="2" t="s">
        <v>24</v>
      </c>
      <c r="BA240" s="32">
        <v>39</v>
      </c>
      <c r="BB240" s="32">
        <v>7.4275192038472021E-2</v>
      </c>
    </row>
    <row r="241" spans="1:54" ht="13" x14ac:dyDescent="0.15">
      <c r="A241" s="1" t="s">
        <v>83</v>
      </c>
      <c r="B241" s="6">
        <v>53</v>
      </c>
      <c r="C241" s="6">
        <f>IF(Form_Responses1[[#This Row],[gioi_tinh]]="Nữ", 0, 1)</f>
        <v>1</v>
      </c>
      <c r="D241" s="1" t="s">
        <v>26</v>
      </c>
      <c r="E241" s="6">
        <v>20.399999999999999</v>
      </c>
      <c r="F241" s="6">
        <f>IF(Form_Responses1[[#This Row],[dai_thao_duong]]="Không", 0, 1)</f>
        <v>1</v>
      </c>
      <c r="G241" s="1" t="s">
        <v>22</v>
      </c>
      <c r="H241" s="6">
        <f t="shared" si="6"/>
        <v>1</v>
      </c>
      <c r="I241" s="1" t="s">
        <v>22</v>
      </c>
      <c r="J241" s="6">
        <f>IF(Form_Responses1[[#This Row],[hoi_chung_vanh_man]]="Không", 0, 1)</f>
        <v>0</v>
      </c>
      <c r="K241" s="1" t="s">
        <v>21</v>
      </c>
      <c r="L241" s="6">
        <f>IF(Form_Responses1[[#This Row],[ckd]]="Không", 0, 1)</f>
        <v>0</v>
      </c>
      <c r="M241" s="1" t="s">
        <v>21</v>
      </c>
      <c r="N241" s="6">
        <f t="shared" si="7"/>
        <v>0</v>
      </c>
      <c r="O241" s="1" t="s">
        <v>21</v>
      </c>
      <c r="P241" s="6">
        <f>IF(Form_Responses1[[#This Row],[phan_loai_the_lam_sang]]="Suy tim mất bù cấp", 1,0)</f>
        <v>1</v>
      </c>
      <c r="Q241" s="6">
        <f>IF(Form_Responses1[[#This Row],[phan_loai_the_lam_sang]]="Phù phổi cấp", 1, 0)</f>
        <v>0</v>
      </c>
      <c r="R241" s="6">
        <f>IF(Form_Responses1[[#This Row],[phan_loai_the_lam_sang]]="Choáng tim", 1, 0)</f>
        <v>0</v>
      </c>
      <c r="S241" s="1" t="s">
        <v>23</v>
      </c>
      <c r="T241" s="6">
        <v>98</v>
      </c>
      <c r="U241" s="6">
        <v>90</v>
      </c>
      <c r="V241" s="6">
        <v>60</v>
      </c>
      <c r="W241" s="6">
        <f>IF(Form_Responses1[[#This Row],[hcvc]]="Không", 0, 1)</f>
        <v>0</v>
      </c>
      <c r="X241" s="1" t="s">
        <v>21</v>
      </c>
      <c r="Y241" s="6">
        <f>IF(Form_Responses1[[#This Row],[suy_ho_hap]]="Không", 0, 1)</f>
        <v>0</v>
      </c>
      <c r="Z241" s="1" t="s">
        <v>21</v>
      </c>
      <c r="AA241" s="6">
        <f>IF(Form_Responses1[[#This Row],[rung_nhi]]="Không", 0, 1)</f>
        <v>0</v>
      </c>
      <c r="AB241" s="1" t="s">
        <v>21</v>
      </c>
      <c r="AC241" s="6">
        <v>450</v>
      </c>
      <c r="AD241" s="6">
        <v>0.12</v>
      </c>
      <c r="AE241" s="6">
        <v>8.3000000000000007</v>
      </c>
      <c r="AF241" s="6">
        <v>118</v>
      </c>
      <c r="AG241" s="6">
        <v>271</v>
      </c>
      <c r="AH241" s="6">
        <v>133</v>
      </c>
      <c r="AI241" s="6">
        <v>4</v>
      </c>
      <c r="AJ241" s="6">
        <v>14</v>
      </c>
      <c r="AK241" s="6">
        <v>0.74</v>
      </c>
      <c r="AL241" s="1" t="s">
        <v>21</v>
      </c>
      <c r="AM241" s="1">
        <v>12168.5</v>
      </c>
      <c r="AN241" s="6">
        <f>IF(Form_Responses1[[#This Row],[NT_proBNP &gt; 35000]]="Có", 35001, Form_Responses1[[#This Row],[NT_ProBNP]])</f>
        <v>12168.5</v>
      </c>
      <c r="AO241" s="6">
        <f>IF(Form_Responses1[[#This Row],[NT_proBNP &gt; 35000]]="Có", 1, 0)</f>
        <v>0</v>
      </c>
      <c r="AP241" s="6">
        <v>27.71</v>
      </c>
      <c r="AQ241" s="6">
        <v>22</v>
      </c>
      <c r="AR241" s="6">
        <v>19</v>
      </c>
      <c r="AS241" s="6">
        <v>169</v>
      </c>
      <c r="AT241" s="6">
        <v>42</v>
      </c>
      <c r="AU241" s="6">
        <v>49</v>
      </c>
      <c r="AV241" s="6">
        <v>61</v>
      </c>
      <c r="AW241" s="6">
        <v>23</v>
      </c>
      <c r="AX241" s="6">
        <v>38</v>
      </c>
      <c r="AY241" s="24">
        <f>IF(Form_Responses1[[#This Row],[ket_cuc]]="Không tử vong", 0, 1)</f>
        <v>0</v>
      </c>
      <c r="AZ241" s="1" t="s">
        <v>24</v>
      </c>
      <c r="BA241" s="32">
        <v>45</v>
      </c>
      <c r="BB241" s="32">
        <v>5.9245075582265674E-2</v>
      </c>
    </row>
    <row r="242" spans="1:54" ht="13" x14ac:dyDescent="0.15">
      <c r="A242" s="2" t="s">
        <v>343</v>
      </c>
      <c r="B242" s="15">
        <v>79</v>
      </c>
      <c r="C242" s="15">
        <f>IF(Form_Responses1[[#This Row],[gioi_tinh]]="Nữ", 0, 1)</f>
        <v>1</v>
      </c>
      <c r="D242" s="2" t="s">
        <v>26</v>
      </c>
      <c r="E242" s="15">
        <v>25.7</v>
      </c>
      <c r="F242" s="15">
        <f>IF(Form_Responses1[[#This Row],[dai_thao_duong]]="Không", 0, 1)</f>
        <v>1</v>
      </c>
      <c r="G242" s="2" t="s">
        <v>22</v>
      </c>
      <c r="H242" s="15">
        <f t="shared" si="6"/>
        <v>1</v>
      </c>
      <c r="I242" s="2" t="s">
        <v>22</v>
      </c>
      <c r="J242" s="15">
        <f>IF(Form_Responses1[[#This Row],[hoi_chung_vanh_man]]="Không", 0, 1)</f>
        <v>0</v>
      </c>
      <c r="K242" s="2" t="s">
        <v>21</v>
      </c>
      <c r="L242" s="15">
        <f>IF(Form_Responses1[[#This Row],[ckd]]="Không", 0, 1)</f>
        <v>0</v>
      </c>
      <c r="M242" s="2" t="s">
        <v>21</v>
      </c>
      <c r="N242" s="15">
        <f t="shared" si="7"/>
        <v>0</v>
      </c>
      <c r="O242" s="2" t="s">
        <v>21</v>
      </c>
      <c r="P242" s="15">
        <f>IF(Form_Responses1[[#This Row],[phan_loai_the_lam_sang]]="Suy tim mất bù cấp", 1,0)</f>
        <v>1</v>
      </c>
      <c r="Q242" s="15">
        <f>IF(Form_Responses1[[#This Row],[phan_loai_the_lam_sang]]="Phù phổi cấp", 1, 0)</f>
        <v>0</v>
      </c>
      <c r="R242" s="15">
        <f>IF(Form_Responses1[[#This Row],[phan_loai_the_lam_sang]]="Choáng tim", 1, 0)</f>
        <v>0</v>
      </c>
      <c r="S242" s="2" t="s">
        <v>23</v>
      </c>
      <c r="T242" s="15">
        <v>102</v>
      </c>
      <c r="U242" s="15">
        <v>130</v>
      </c>
      <c r="V242" s="15">
        <v>70</v>
      </c>
      <c r="W242" s="15">
        <f>IF(Form_Responses1[[#This Row],[hcvc]]="Không", 0, 1)</f>
        <v>0</v>
      </c>
      <c r="X242" s="2" t="s">
        <v>21</v>
      </c>
      <c r="Y242" s="15">
        <f>IF(Form_Responses1[[#This Row],[suy_ho_hap]]="Không", 0, 1)</f>
        <v>1</v>
      </c>
      <c r="Z242" s="2" t="s">
        <v>22</v>
      </c>
      <c r="AA242" s="15">
        <f>IF(Form_Responses1[[#This Row],[rung_nhi]]="Không", 0, 1)</f>
        <v>0</v>
      </c>
      <c r="AB242" s="2" t="s">
        <v>21</v>
      </c>
      <c r="AC242" s="15">
        <v>437</v>
      </c>
      <c r="AD242" s="15">
        <v>0.08</v>
      </c>
      <c r="AE242" s="15">
        <v>8.1</v>
      </c>
      <c r="AF242" s="15">
        <v>112</v>
      </c>
      <c r="AG242" s="15">
        <v>238</v>
      </c>
      <c r="AH242" s="15">
        <v>136</v>
      </c>
      <c r="AI242" s="15">
        <v>3.2</v>
      </c>
      <c r="AJ242" s="15">
        <v>11</v>
      </c>
      <c r="AK242" s="15">
        <v>0.94</v>
      </c>
      <c r="AL242" s="2" t="s">
        <v>21</v>
      </c>
      <c r="AM242" s="28">
        <v>13384.9</v>
      </c>
      <c r="AN242" s="6">
        <f>IF(Form_Responses1[[#This Row],[NT_proBNP &gt; 35000]]="Có", 35001, Form_Responses1[[#This Row],[NT_ProBNP]])</f>
        <v>13384.9</v>
      </c>
      <c r="AO242" s="27">
        <f>IF(Form_Responses1[[#This Row],[NT_proBNP &gt; 35000]]="Có", 1, 0)</f>
        <v>0</v>
      </c>
      <c r="AP242" s="15">
        <v>193.4</v>
      </c>
      <c r="AQ242" s="15">
        <v>38</v>
      </c>
      <c r="AR242" s="15">
        <v>43</v>
      </c>
      <c r="AS242" s="15">
        <v>153</v>
      </c>
      <c r="AT242" s="27">
        <v>33</v>
      </c>
      <c r="AU242" s="15">
        <v>42</v>
      </c>
      <c r="AV242" s="15">
        <v>54</v>
      </c>
      <c r="AW242" s="15">
        <v>23</v>
      </c>
      <c r="AY242" s="25">
        <f>IF(Form_Responses1[[#This Row],[ket_cuc]]="Không tử vong", 0, 1)</f>
        <v>0</v>
      </c>
      <c r="AZ242" s="2" t="s">
        <v>24</v>
      </c>
      <c r="BA242" s="32">
        <v>43</v>
      </c>
      <c r="BB242" s="32">
        <v>9.802183963968937E-2</v>
      </c>
    </row>
    <row r="243" spans="1:54" ht="13" x14ac:dyDescent="0.15">
      <c r="A243" s="1" t="s">
        <v>210</v>
      </c>
      <c r="B243" s="6">
        <v>30</v>
      </c>
      <c r="C243" s="6">
        <f>IF(Form_Responses1[[#This Row],[gioi_tinh]]="Nữ", 0, 1)</f>
        <v>1</v>
      </c>
      <c r="D243" s="1" t="s">
        <v>26</v>
      </c>
      <c r="E243" s="6">
        <v>30.5</v>
      </c>
      <c r="F243" s="6">
        <f>IF(Form_Responses1[[#This Row],[dai_thao_duong]]="Không", 0, 1)</f>
        <v>0</v>
      </c>
      <c r="G243" s="1" t="s">
        <v>21</v>
      </c>
      <c r="H243" s="6">
        <f t="shared" si="6"/>
        <v>0</v>
      </c>
      <c r="I243" s="1" t="s">
        <v>21</v>
      </c>
      <c r="J243" s="6">
        <f>IF(Form_Responses1[[#This Row],[hoi_chung_vanh_man]]="Không", 0, 1)</f>
        <v>0</v>
      </c>
      <c r="K243" s="1" t="s">
        <v>21</v>
      </c>
      <c r="L243" s="6">
        <f>IF(Form_Responses1[[#This Row],[ckd]]="Không", 0, 1)</f>
        <v>0</v>
      </c>
      <c r="M243" s="1" t="s">
        <v>21</v>
      </c>
      <c r="N243" s="6">
        <f t="shared" si="7"/>
        <v>0</v>
      </c>
      <c r="O243" s="1" t="s">
        <v>21</v>
      </c>
      <c r="P243" s="6">
        <f>IF(Form_Responses1[[#This Row],[phan_loai_the_lam_sang]]="Suy tim mất bù cấp", 1,0)</f>
        <v>1</v>
      </c>
      <c r="Q243" s="6">
        <f>IF(Form_Responses1[[#This Row],[phan_loai_the_lam_sang]]="Phù phổi cấp", 1, 0)</f>
        <v>0</v>
      </c>
      <c r="R243" s="6">
        <f>IF(Form_Responses1[[#This Row],[phan_loai_the_lam_sang]]="Choáng tim", 1, 0)</f>
        <v>0</v>
      </c>
      <c r="S243" s="1" t="s">
        <v>23</v>
      </c>
      <c r="T243" s="6">
        <v>140</v>
      </c>
      <c r="U243" s="6">
        <v>110</v>
      </c>
      <c r="V243" s="6">
        <v>60</v>
      </c>
      <c r="W243" s="6">
        <f>IF(Form_Responses1[[#This Row],[hcvc]]="Không", 0, 1)</f>
        <v>0</v>
      </c>
      <c r="X243" s="1" t="s">
        <v>21</v>
      </c>
      <c r="Y243" s="6">
        <f>IF(Form_Responses1[[#This Row],[suy_ho_hap]]="Không", 0, 1)</f>
        <v>1</v>
      </c>
      <c r="Z243" s="1" t="s">
        <v>22</v>
      </c>
      <c r="AA243" s="6">
        <f>IF(Form_Responses1[[#This Row],[rung_nhi]]="Không", 0, 1)</f>
        <v>1</v>
      </c>
      <c r="AB243" s="1" t="s">
        <v>22</v>
      </c>
      <c r="AC243" s="6">
        <v>403</v>
      </c>
      <c r="AD243" s="6">
        <v>0.08</v>
      </c>
      <c r="AE243" s="6">
        <v>22.3</v>
      </c>
      <c r="AF243" s="6">
        <v>155</v>
      </c>
      <c r="AG243" s="6">
        <v>300</v>
      </c>
      <c r="AH243" s="6">
        <v>129</v>
      </c>
      <c r="AI243" s="6">
        <v>3.4</v>
      </c>
      <c r="AJ243" s="6">
        <v>13</v>
      </c>
      <c r="AK243" s="6">
        <v>0.87</v>
      </c>
      <c r="AL243" s="1" t="s">
        <v>21</v>
      </c>
      <c r="AM243" s="1">
        <v>4028</v>
      </c>
      <c r="AN243" s="6">
        <f>IF(Form_Responses1[[#This Row],[NT_proBNP &gt; 35000]]="Có", 35001, Form_Responses1[[#This Row],[NT_ProBNP]])</f>
        <v>4028</v>
      </c>
      <c r="AO243" s="6">
        <f>IF(Form_Responses1[[#This Row],[NT_proBNP &gt; 35000]]="Có", 1, 0)</f>
        <v>0</v>
      </c>
      <c r="AP243" s="6">
        <v>368.8</v>
      </c>
      <c r="AQ243" s="6">
        <v>28</v>
      </c>
      <c r="AR243" s="6">
        <v>35</v>
      </c>
      <c r="AS243" s="6">
        <v>196</v>
      </c>
      <c r="AT243" s="6">
        <v>53</v>
      </c>
      <c r="AU243" s="6">
        <v>53.9</v>
      </c>
      <c r="AV243" s="6">
        <v>59.4</v>
      </c>
      <c r="AW243" s="6">
        <v>23</v>
      </c>
      <c r="AX243" s="6">
        <v>40</v>
      </c>
      <c r="AY243" s="24">
        <f>IF(Form_Responses1[[#This Row],[ket_cuc]]="Không tử vong", 0, 1)</f>
        <v>0</v>
      </c>
      <c r="AZ243" s="1" t="s">
        <v>24</v>
      </c>
      <c r="BA243" s="32">
        <v>40</v>
      </c>
      <c r="BB243" s="32">
        <v>5.2232713487396783E-2</v>
      </c>
    </row>
    <row r="244" spans="1:54" ht="13" x14ac:dyDescent="0.15">
      <c r="A244" s="2" t="s">
        <v>128</v>
      </c>
      <c r="B244" s="15">
        <v>63</v>
      </c>
      <c r="C244" s="15">
        <f>IF(Form_Responses1[[#This Row],[gioi_tinh]]="Nữ", 0, 1)</f>
        <v>0</v>
      </c>
      <c r="D244" s="2" t="s">
        <v>20</v>
      </c>
      <c r="E244" s="15">
        <v>18.3</v>
      </c>
      <c r="F244" s="15">
        <f>IF(Form_Responses1[[#This Row],[dai_thao_duong]]="Không", 0, 1)</f>
        <v>0</v>
      </c>
      <c r="G244" s="2" t="s">
        <v>21</v>
      </c>
      <c r="H244" s="15">
        <f t="shared" si="6"/>
        <v>1</v>
      </c>
      <c r="I244" s="2" t="s">
        <v>22</v>
      </c>
      <c r="J244" s="15">
        <f>IF(Form_Responses1[[#This Row],[hoi_chung_vanh_man]]="Không", 0, 1)</f>
        <v>0</v>
      </c>
      <c r="K244" s="2" t="s">
        <v>21</v>
      </c>
      <c r="L244" s="15">
        <f>IF(Form_Responses1[[#This Row],[ckd]]="Không", 0, 1)</f>
        <v>0</v>
      </c>
      <c r="M244" s="2" t="s">
        <v>21</v>
      </c>
      <c r="N244" s="15">
        <f t="shared" si="7"/>
        <v>0</v>
      </c>
      <c r="O244" s="2" t="s">
        <v>21</v>
      </c>
      <c r="P244" s="15">
        <f>IF(Form_Responses1[[#This Row],[phan_loai_the_lam_sang]]="Suy tim mất bù cấp", 1,0)</f>
        <v>1</v>
      </c>
      <c r="Q244" s="15">
        <f>IF(Form_Responses1[[#This Row],[phan_loai_the_lam_sang]]="Phù phổi cấp", 1, 0)</f>
        <v>0</v>
      </c>
      <c r="R244" s="15">
        <f>IF(Form_Responses1[[#This Row],[phan_loai_the_lam_sang]]="Choáng tim", 1, 0)</f>
        <v>0</v>
      </c>
      <c r="S244" s="2" t="s">
        <v>23</v>
      </c>
      <c r="T244" s="15">
        <v>100</v>
      </c>
      <c r="U244" s="15">
        <v>100</v>
      </c>
      <c r="V244" s="15">
        <v>60</v>
      </c>
      <c r="W244" s="15">
        <f>IF(Form_Responses1[[#This Row],[hcvc]]="Không", 0, 1)</f>
        <v>0</v>
      </c>
      <c r="X244" s="2" t="s">
        <v>21</v>
      </c>
      <c r="Y244" s="15">
        <f>IF(Form_Responses1[[#This Row],[suy_ho_hap]]="Không", 0, 1)</f>
        <v>0</v>
      </c>
      <c r="Z244" s="2" t="s">
        <v>21</v>
      </c>
      <c r="AA244" s="15">
        <f>IF(Form_Responses1[[#This Row],[rung_nhi]]="Không", 0, 1)</f>
        <v>0</v>
      </c>
      <c r="AB244" s="2" t="s">
        <v>21</v>
      </c>
      <c r="AC244" s="15">
        <v>457</v>
      </c>
      <c r="AD244" s="15">
        <v>0.08</v>
      </c>
      <c r="AE244" s="15">
        <v>7.2</v>
      </c>
      <c r="AF244" s="15">
        <v>93</v>
      </c>
      <c r="AG244" s="15">
        <v>227</v>
      </c>
      <c r="AH244" s="15">
        <v>123</v>
      </c>
      <c r="AI244" s="15">
        <v>4.8</v>
      </c>
      <c r="AJ244" s="15">
        <v>40</v>
      </c>
      <c r="AK244" s="15">
        <v>1.3</v>
      </c>
      <c r="AL244" s="2" t="s">
        <v>22</v>
      </c>
      <c r="AM244" s="12"/>
      <c r="AN244" s="6">
        <f>IF(Form_Responses1[[#This Row],[NT_proBNP &gt; 35000]]="Có", 35001, Form_Responses1[[#This Row],[NT_ProBNP]])</f>
        <v>35001</v>
      </c>
      <c r="AO244" s="18">
        <f>IF(Form_Responses1[[#This Row],[NT_proBNP &gt; 35000]]="Có", 1, 0)</f>
        <v>1</v>
      </c>
      <c r="AP244" s="15">
        <v>392.1</v>
      </c>
      <c r="AQ244" s="15">
        <v>36</v>
      </c>
      <c r="AR244" s="15">
        <v>26</v>
      </c>
      <c r="AS244" s="15">
        <v>102</v>
      </c>
      <c r="AT244" s="15">
        <v>42</v>
      </c>
      <c r="AU244" s="15">
        <v>43</v>
      </c>
      <c r="AV244" s="15">
        <v>51</v>
      </c>
      <c r="AW244" s="15">
        <v>23</v>
      </c>
      <c r="AX244" s="15">
        <v>38</v>
      </c>
      <c r="AY244" s="22">
        <f>IF(Form_Responses1[[#This Row],[ket_cuc]]="Không tử vong", 0, 1)</f>
        <v>0</v>
      </c>
      <c r="AZ244" s="2" t="s">
        <v>24</v>
      </c>
      <c r="BA244" s="32">
        <v>54</v>
      </c>
      <c r="BB244" s="32">
        <v>0.1301537531653971</v>
      </c>
    </row>
    <row r="245" spans="1:54" ht="13" x14ac:dyDescent="0.15">
      <c r="A245" s="1" t="s">
        <v>171</v>
      </c>
      <c r="B245" s="6">
        <v>34</v>
      </c>
      <c r="C245" s="6">
        <f>IF(Form_Responses1[[#This Row],[gioi_tinh]]="Nữ", 0, 1)</f>
        <v>1</v>
      </c>
      <c r="D245" s="1" t="s">
        <v>26</v>
      </c>
      <c r="E245" s="6">
        <v>19</v>
      </c>
      <c r="F245" s="6">
        <f>IF(Form_Responses1[[#This Row],[dai_thao_duong]]="Không", 0, 1)</f>
        <v>0</v>
      </c>
      <c r="G245" s="1" t="s">
        <v>21</v>
      </c>
      <c r="H245" s="6">
        <f t="shared" si="6"/>
        <v>0</v>
      </c>
      <c r="I245" s="1" t="s">
        <v>21</v>
      </c>
      <c r="J245" s="6">
        <f>IF(Form_Responses1[[#This Row],[hoi_chung_vanh_man]]="Không", 0, 1)</f>
        <v>0</v>
      </c>
      <c r="K245" s="1" t="s">
        <v>21</v>
      </c>
      <c r="L245" s="6">
        <f>IF(Form_Responses1[[#This Row],[ckd]]="Không", 0, 1)</f>
        <v>0</v>
      </c>
      <c r="M245" s="1" t="s">
        <v>21</v>
      </c>
      <c r="N245" s="6">
        <f t="shared" si="7"/>
        <v>0</v>
      </c>
      <c r="O245" s="1" t="s">
        <v>21</v>
      </c>
      <c r="P245" s="6">
        <f>IF(Form_Responses1[[#This Row],[phan_loai_the_lam_sang]]="Suy tim mất bù cấp", 1,0)</f>
        <v>1</v>
      </c>
      <c r="Q245" s="6">
        <f>IF(Form_Responses1[[#This Row],[phan_loai_the_lam_sang]]="Phù phổi cấp", 1, 0)</f>
        <v>0</v>
      </c>
      <c r="R245" s="6">
        <f>IF(Form_Responses1[[#This Row],[phan_loai_the_lam_sang]]="Choáng tim", 1, 0)</f>
        <v>0</v>
      </c>
      <c r="S245" s="1" t="s">
        <v>23</v>
      </c>
      <c r="T245" s="6">
        <v>70</v>
      </c>
      <c r="U245" s="6">
        <v>90</v>
      </c>
      <c r="V245" s="6">
        <v>60</v>
      </c>
      <c r="W245" s="6">
        <f>IF(Form_Responses1[[#This Row],[hcvc]]="Không", 0, 1)</f>
        <v>0</v>
      </c>
      <c r="X245" s="1" t="s">
        <v>21</v>
      </c>
      <c r="Y245" s="6">
        <f>IF(Form_Responses1[[#This Row],[suy_ho_hap]]="Không", 0, 1)</f>
        <v>0</v>
      </c>
      <c r="Z245" s="1" t="s">
        <v>21</v>
      </c>
      <c r="AA245" s="6">
        <f>IF(Form_Responses1[[#This Row],[rung_nhi]]="Không", 0, 1)</f>
        <v>0</v>
      </c>
      <c r="AB245" s="1" t="s">
        <v>21</v>
      </c>
      <c r="AC245" s="6">
        <v>426</v>
      </c>
      <c r="AD245" s="6">
        <v>0.08</v>
      </c>
      <c r="AE245" s="6">
        <v>7.87</v>
      </c>
      <c r="AF245" s="6">
        <v>168</v>
      </c>
      <c r="AG245" s="6">
        <v>116</v>
      </c>
      <c r="AH245" s="6">
        <v>133</v>
      </c>
      <c r="AI245" s="6">
        <v>3.8</v>
      </c>
      <c r="AJ245" s="6">
        <v>19</v>
      </c>
      <c r="AK245" s="6">
        <v>1.23</v>
      </c>
      <c r="AL245" s="1" t="s">
        <v>21</v>
      </c>
      <c r="AM245" s="1">
        <v>11767.4</v>
      </c>
      <c r="AN245" s="6">
        <f>IF(Form_Responses1[[#This Row],[NT_proBNP &gt; 35000]]="Có", 35001, Form_Responses1[[#This Row],[NT_ProBNP]])</f>
        <v>11767.4</v>
      </c>
      <c r="AO245" s="6">
        <f>IF(Form_Responses1[[#This Row],[NT_proBNP &gt; 35000]]="Có", 1, 0)</f>
        <v>0</v>
      </c>
      <c r="AP245" s="6">
        <v>662.5</v>
      </c>
      <c r="AQ245" s="6">
        <v>42</v>
      </c>
      <c r="AR245" s="6">
        <v>28</v>
      </c>
      <c r="AS245" s="6">
        <v>128</v>
      </c>
      <c r="AT245" s="6">
        <v>45.7</v>
      </c>
      <c r="AU245" s="6">
        <v>66.099999999999994</v>
      </c>
      <c r="AV245" s="6">
        <v>72.7</v>
      </c>
      <c r="AW245" s="6">
        <v>23</v>
      </c>
      <c r="AX245" s="27">
        <v>41</v>
      </c>
      <c r="AY245" s="29">
        <f>IF(Form_Responses1[[#This Row],[ket_cuc]]="Không tử vong", 0, 1)</f>
        <v>0</v>
      </c>
      <c r="AZ245" s="1" t="s">
        <v>24</v>
      </c>
      <c r="BA245" s="32">
        <v>35</v>
      </c>
      <c r="BB245" s="32">
        <v>2.7305019492695443E-2</v>
      </c>
    </row>
    <row r="246" spans="1:54" ht="13" x14ac:dyDescent="0.15">
      <c r="A246" s="2" t="s">
        <v>205</v>
      </c>
      <c r="B246" s="15">
        <v>67</v>
      </c>
      <c r="C246" s="15">
        <f>IF(Form_Responses1[[#This Row],[gioi_tinh]]="Nữ", 0, 1)</f>
        <v>0</v>
      </c>
      <c r="D246" s="2" t="s">
        <v>20</v>
      </c>
      <c r="E246" s="15">
        <v>22.9</v>
      </c>
      <c r="F246" s="15">
        <f>IF(Form_Responses1[[#This Row],[dai_thao_duong]]="Không", 0, 1)</f>
        <v>0</v>
      </c>
      <c r="G246" s="2" t="s">
        <v>21</v>
      </c>
      <c r="H246" s="15">
        <f t="shared" si="6"/>
        <v>1</v>
      </c>
      <c r="I246" s="2" t="s">
        <v>22</v>
      </c>
      <c r="J246" s="15">
        <f>IF(Form_Responses1[[#This Row],[hoi_chung_vanh_man]]="Không", 0, 1)</f>
        <v>0</v>
      </c>
      <c r="K246" s="2" t="s">
        <v>21</v>
      </c>
      <c r="L246" s="15">
        <f>IF(Form_Responses1[[#This Row],[ckd]]="Không", 0, 1)</f>
        <v>0</v>
      </c>
      <c r="M246" s="2" t="s">
        <v>21</v>
      </c>
      <c r="N246" s="15">
        <f t="shared" si="7"/>
        <v>0</v>
      </c>
      <c r="O246" s="2" t="s">
        <v>21</v>
      </c>
      <c r="P246" s="15">
        <f>IF(Form_Responses1[[#This Row],[phan_loai_the_lam_sang]]="Suy tim mất bù cấp", 1,0)</f>
        <v>0</v>
      </c>
      <c r="Q246" s="15">
        <f>IF(Form_Responses1[[#This Row],[phan_loai_the_lam_sang]]="Phù phổi cấp", 1, 0)</f>
        <v>1</v>
      </c>
      <c r="R246" s="15">
        <f>IF(Form_Responses1[[#This Row],[phan_loai_the_lam_sang]]="Choáng tim", 1, 0)</f>
        <v>0</v>
      </c>
      <c r="S246" s="2" t="s">
        <v>45</v>
      </c>
      <c r="T246" s="15">
        <v>98</v>
      </c>
      <c r="U246" s="15">
        <v>140</v>
      </c>
      <c r="V246" s="15">
        <v>60</v>
      </c>
      <c r="W246" s="15">
        <f>IF(Form_Responses1[[#This Row],[hcvc]]="Không", 0, 1)</f>
        <v>1</v>
      </c>
      <c r="X246" s="2" t="s">
        <v>22</v>
      </c>
      <c r="Y246" s="15">
        <f>IF(Form_Responses1[[#This Row],[suy_ho_hap]]="Không", 0, 1)</f>
        <v>1</v>
      </c>
      <c r="Z246" s="2" t="s">
        <v>22</v>
      </c>
      <c r="AA246" s="15">
        <f>IF(Form_Responses1[[#This Row],[rung_nhi]]="Không", 0, 1)</f>
        <v>0</v>
      </c>
      <c r="AB246" s="2" t="s">
        <v>21</v>
      </c>
      <c r="AC246" s="15">
        <v>425</v>
      </c>
      <c r="AD246" s="15">
        <v>0.09</v>
      </c>
      <c r="AE246" s="15">
        <v>10.35</v>
      </c>
      <c r="AF246" s="15">
        <v>113</v>
      </c>
      <c r="AG246" s="15">
        <v>266</v>
      </c>
      <c r="AH246" s="15">
        <v>136</v>
      </c>
      <c r="AI246" s="15">
        <v>3.4</v>
      </c>
      <c r="AJ246" s="15">
        <v>38</v>
      </c>
      <c r="AK246" s="15">
        <v>1.1200000000000001</v>
      </c>
      <c r="AL246" s="2" t="s">
        <v>22</v>
      </c>
      <c r="AM246" s="12"/>
      <c r="AN246" s="6">
        <f>IF(Form_Responses1[[#This Row],[NT_proBNP &gt; 35000]]="Có", 35001, Form_Responses1[[#This Row],[NT_ProBNP]])</f>
        <v>35001</v>
      </c>
      <c r="AO246" s="18">
        <f>IF(Form_Responses1[[#This Row],[NT_proBNP &gt; 35000]]="Có", 1, 0)</f>
        <v>1</v>
      </c>
      <c r="AP246" s="15">
        <v>741.18</v>
      </c>
      <c r="AQ246" s="15">
        <v>33</v>
      </c>
      <c r="AR246" s="15">
        <v>25</v>
      </c>
      <c r="AS246" s="27">
        <v>101</v>
      </c>
      <c r="AT246" s="18"/>
      <c r="AU246" s="15">
        <v>47</v>
      </c>
      <c r="AV246" s="15">
        <v>55.3</v>
      </c>
      <c r="AW246" s="15">
        <v>23</v>
      </c>
      <c r="AY246" s="25">
        <f>IF(Form_Responses1[[#This Row],[ket_cuc]]="Không tử vong", 0, 1)</f>
        <v>0</v>
      </c>
      <c r="AZ246" s="2" t="s">
        <v>24</v>
      </c>
      <c r="BA246" s="32">
        <v>41</v>
      </c>
      <c r="BB246" s="32">
        <v>0.13552104726845945</v>
      </c>
    </row>
    <row r="247" spans="1:54" ht="13" x14ac:dyDescent="0.15">
      <c r="A247" s="1" t="s">
        <v>141</v>
      </c>
      <c r="B247" s="6">
        <v>68</v>
      </c>
      <c r="C247" s="6">
        <f>IF(Form_Responses1[[#This Row],[gioi_tinh]]="Nữ", 0, 1)</f>
        <v>0</v>
      </c>
      <c r="D247" s="1" t="s">
        <v>20</v>
      </c>
      <c r="E247" s="6">
        <v>22</v>
      </c>
      <c r="F247" s="6">
        <f>IF(Form_Responses1[[#This Row],[dai_thao_duong]]="Không", 0, 1)</f>
        <v>1</v>
      </c>
      <c r="G247" s="1" t="s">
        <v>22</v>
      </c>
      <c r="H247" s="6">
        <f t="shared" si="6"/>
        <v>1</v>
      </c>
      <c r="I247" s="1" t="s">
        <v>22</v>
      </c>
      <c r="J247" s="6">
        <f>IF(Form_Responses1[[#This Row],[hoi_chung_vanh_man]]="Không", 0, 1)</f>
        <v>0</v>
      </c>
      <c r="K247" s="1" t="s">
        <v>21</v>
      </c>
      <c r="L247" s="6">
        <f>IF(Form_Responses1[[#This Row],[ckd]]="Không", 0, 1)</f>
        <v>0</v>
      </c>
      <c r="M247" s="1" t="s">
        <v>21</v>
      </c>
      <c r="N247" s="6">
        <f t="shared" si="7"/>
        <v>0</v>
      </c>
      <c r="O247" s="1" t="s">
        <v>21</v>
      </c>
      <c r="P247" s="6">
        <f>IF(Form_Responses1[[#This Row],[phan_loai_the_lam_sang]]="Suy tim mất bù cấp", 1,0)</f>
        <v>0</v>
      </c>
      <c r="Q247" s="6">
        <f>IF(Form_Responses1[[#This Row],[phan_loai_the_lam_sang]]="Phù phổi cấp", 1, 0)</f>
        <v>1</v>
      </c>
      <c r="R247" s="6">
        <f>IF(Form_Responses1[[#This Row],[phan_loai_the_lam_sang]]="Choáng tim", 1, 0)</f>
        <v>0</v>
      </c>
      <c r="S247" s="1" t="s">
        <v>45</v>
      </c>
      <c r="T247" s="6">
        <v>110</v>
      </c>
      <c r="U247" s="6">
        <v>150</v>
      </c>
      <c r="V247" s="6">
        <v>90</v>
      </c>
      <c r="W247" s="6">
        <f>IF(Form_Responses1[[#This Row],[hcvc]]="Không", 0, 1)</f>
        <v>1</v>
      </c>
      <c r="X247" s="1" t="s">
        <v>22</v>
      </c>
      <c r="Y247" s="6">
        <f>IF(Form_Responses1[[#This Row],[suy_ho_hap]]="Không", 0, 1)</f>
        <v>1</v>
      </c>
      <c r="Z247" s="1" t="s">
        <v>22</v>
      </c>
      <c r="AA247" s="6">
        <f>IF(Form_Responses1[[#This Row],[rung_nhi]]="Không", 0, 1)</f>
        <v>0</v>
      </c>
      <c r="AB247" s="1" t="s">
        <v>21</v>
      </c>
      <c r="AC247" s="6">
        <v>437</v>
      </c>
      <c r="AD247" s="6">
        <v>0.11</v>
      </c>
      <c r="AE247" s="6">
        <v>16.7</v>
      </c>
      <c r="AF247" s="6">
        <v>112</v>
      </c>
      <c r="AG247" s="6">
        <v>177</v>
      </c>
      <c r="AH247" s="6">
        <v>135</v>
      </c>
      <c r="AI247" s="6">
        <v>3.3</v>
      </c>
      <c r="AJ247" s="6">
        <v>31</v>
      </c>
      <c r="AK247" s="6">
        <v>1.42</v>
      </c>
      <c r="AL247" s="1" t="s">
        <v>22</v>
      </c>
      <c r="AM247" s="10"/>
      <c r="AN247" s="6">
        <f>IF(Form_Responses1[[#This Row],[NT_proBNP &gt; 35000]]="Có", 35001, Form_Responses1[[#This Row],[NT_ProBNP]])</f>
        <v>35001</v>
      </c>
      <c r="AO247" s="13">
        <f>IF(Form_Responses1[[#This Row],[NT_proBNP &gt; 35000]]="Có", 1, 0)</f>
        <v>1</v>
      </c>
      <c r="AP247" s="6">
        <v>2841</v>
      </c>
      <c r="AQ247" s="6">
        <v>683</v>
      </c>
      <c r="AR247" s="6">
        <v>903</v>
      </c>
      <c r="AS247" s="6">
        <v>160</v>
      </c>
      <c r="AT247" s="13"/>
      <c r="AU247" s="6">
        <v>45.7</v>
      </c>
      <c r="AV247" s="6">
        <v>55.7</v>
      </c>
      <c r="AW247" s="6">
        <v>23</v>
      </c>
      <c r="AX247" s="6">
        <v>35</v>
      </c>
      <c r="AY247" s="24">
        <f>IF(Form_Responses1[[#This Row],[ket_cuc]]="Không tử vong", 0, 1)</f>
        <v>0</v>
      </c>
      <c r="AZ247" s="1" t="s">
        <v>24</v>
      </c>
      <c r="BA247" s="32">
        <v>42</v>
      </c>
      <c r="BB247" s="32">
        <v>8.3830844703018964E-2</v>
      </c>
    </row>
    <row r="248" spans="1:54" ht="13" x14ac:dyDescent="0.15">
      <c r="A248" s="2" t="s">
        <v>190</v>
      </c>
      <c r="B248" s="15">
        <v>55</v>
      </c>
      <c r="C248" s="15">
        <f>IF(Form_Responses1[[#This Row],[gioi_tinh]]="Nữ", 0, 1)</f>
        <v>0</v>
      </c>
      <c r="D248" s="2" t="s">
        <v>20</v>
      </c>
      <c r="E248" s="15">
        <v>21.5</v>
      </c>
      <c r="F248" s="15">
        <f>IF(Form_Responses1[[#This Row],[dai_thao_duong]]="Không", 0, 1)</f>
        <v>0</v>
      </c>
      <c r="G248" s="2" t="s">
        <v>21</v>
      </c>
      <c r="H248" s="15">
        <f t="shared" si="6"/>
        <v>0</v>
      </c>
      <c r="I248" s="2" t="s">
        <v>21</v>
      </c>
      <c r="J248" s="15">
        <f>IF(Form_Responses1[[#This Row],[hoi_chung_vanh_man]]="Không", 0, 1)</f>
        <v>0</v>
      </c>
      <c r="K248" s="2" t="s">
        <v>21</v>
      </c>
      <c r="L248" s="15">
        <f>IF(Form_Responses1[[#This Row],[ckd]]="Không", 0, 1)</f>
        <v>0</v>
      </c>
      <c r="M248" s="2" t="s">
        <v>21</v>
      </c>
      <c r="N248" s="15">
        <f t="shared" si="7"/>
        <v>0</v>
      </c>
      <c r="O248" s="2" t="s">
        <v>21</v>
      </c>
      <c r="P248" s="15">
        <f>IF(Form_Responses1[[#This Row],[phan_loai_the_lam_sang]]="Suy tim mất bù cấp", 1,0)</f>
        <v>1</v>
      </c>
      <c r="Q248" s="15">
        <f>IF(Form_Responses1[[#This Row],[phan_loai_the_lam_sang]]="Phù phổi cấp", 1, 0)</f>
        <v>0</v>
      </c>
      <c r="R248" s="15">
        <f>IF(Form_Responses1[[#This Row],[phan_loai_the_lam_sang]]="Choáng tim", 1, 0)</f>
        <v>0</v>
      </c>
      <c r="S248" s="2" t="s">
        <v>23</v>
      </c>
      <c r="T248" s="15">
        <v>86</v>
      </c>
      <c r="U248" s="15">
        <v>120</v>
      </c>
      <c r="V248" s="15">
        <v>80</v>
      </c>
      <c r="W248" s="15">
        <f>IF(Form_Responses1[[#This Row],[hcvc]]="Không", 0, 1)</f>
        <v>0</v>
      </c>
      <c r="X248" s="2" t="s">
        <v>21</v>
      </c>
      <c r="Y248" s="15">
        <f>IF(Form_Responses1[[#This Row],[suy_ho_hap]]="Không", 0, 1)</f>
        <v>0</v>
      </c>
      <c r="Z248" s="2" t="s">
        <v>21</v>
      </c>
      <c r="AA248" s="15">
        <f>IF(Form_Responses1[[#This Row],[rung_nhi]]="Không", 0, 1)</f>
        <v>1</v>
      </c>
      <c r="AB248" s="2" t="s">
        <v>22</v>
      </c>
      <c r="AC248" s="15">
        <v>394</v>
      </c>
      <c r="AD248" s="15">
        <v>0.08</v>
      </c>
      <c r="AE248" s="15">
        <v>6.84</v>
      </c>
      <c r="AF248" s="15">
        <v>133</v>
      </c>
      <c r="AG248" s="15">
        <v>196</v>
      </c>
      <c r="AH248" s="15">
        <v>130</v>
      </c>
      <c r="AI248" s="15">
        <v>3.1</v>
      </c>
      <c r="AJ248" s="15">
        <v>13</v>
      </c>
      <c r="AK248" s="15">
        <v>0.78</v>
      </c>
      <c r="AL248" s="2" t="s">
        <v>21</v>
      </c>
      <c r="AM248" s="2">
        <v>5005.6499999999996</v>
      </c>
      <c r="AN248" s="6">
        <f>IF(Form_Responses1[[#This Row],[NT_proBNP &gt; 35000]]="Có", 35001, Form_Responses1[[#This Row],[NT_ProBNP]])</f>
        <v>5005.6499999999996</v>
      </c>
      <c r="AO248" s="15">
        <f>IF(Form_Responses1[[#This Row],[NT_proBNP &gt; 35000]]="Có", 1, 0)</f>
        <v>0</v>
      </c>
      <c r="AP248" s="18"/>
      <c r="AQ248" s="15">
        <v>46</v>
      </c>
      <c r="AR248" s="15">
        <v>41</v>
      </c>
      <c r="AS248" s="15">
        <v>129</v>
      </c>
      <c r="AT248" s="27">
        <v>40</v>
      </c>
      <c r="AU248" s="15">
        <v>37</v>
      </c>
      <c r="AV248" s="15">
        <v>41</v>
      </c>
      <c r="AW248" s="15">
        <v>23</v>
      </c>
      <c r="AX248" s="15">
        <v>40</v>
      </c>
      <c r="AY248" s="22">
        <f>IF(Form_Responses1[[#This Row],[ket_cuc]]="Không tử vong", 0, 1)</f>
        <v>0</v>
      </c>
      <c r="AZ248" s="2" t="s">
        <v>24</v>
      </c>
      <c r="BA248" s="32">
        <v>38</v>
      </c>
      <c r="BB248" s="32">
        <v>3.6621883764873291E-2</v>
      </c>
    </row>
    <row r="249" spans="1:54" ht="13" x14ac:dyDescent="0.15">
      <c r="A249" s="1" t="s">
        <v>129</v>
      </c>
      <c r="B249" s="6">
        <v>63</v>
      </c>
      <c r="C249" s="6">
        <f>IF(Form_Responses1[[#This Row],[gioi_tinh]]="Nữ", 0, 1)</f>
        <v>0</v>
      </c>
      <c r="D249" s="1" t="s">
        <v>20</v>
      </c>
      <c r="E249" s="6">
        <v>21.3</v>
      </c>
      <c r="F249" s="6">
        <f>IF(Form_Responses1[[#This Row],[dai_thao_duong]]="Không", 0, 1)</f>
        <v>0</v>
      </c>
      <c r="G249" s="1" t="s">
        <v>21</v>
      </c>
      <c r="H249" s="6">
        <f t="shared" si="6"/>
        <v>0</v>
      </c>
      <c r="I249" s="1" t="s">
        <v>21</v>
      </c>
      <c r="J249" s="6">
        <f>IF(Form_Responses1[[#This Row],[hoi_chung_vanh_man]]="Không", 0, 1)</f>
        <v>0</v>
      </c>
      <c r="K249" s="1" t="s">
        <v>21</v>
      </c>
      <c r="L249" s="6">
        <f>IF(Form_Responses1[[#This Row],[ckd]]="Không", 0, 1)</f>
        <v>0</v>
      </c>
      <c r="M249" s="1" t="s">
        <v>21</v>
      </c>
      <c r="N249" s="6">
        <f t="shared" si="7"/>
        <v>0</v>
      </c>
      <c r="O249" s="1" t="s">
        <v>21</v>
      </c>
      <c r="P249" s="6">
        <f>IF(Form_Responses1[[#This Row],[phan_loai_the_lam_sang]]="Suy tim mất bù cấp", 1,0)</f>
        <v>0</v>
      </c>
      <c r="Q249" s="6">
        <f>IF(Form_Responses1[[#This Row],[phan_loai_the_lam_sang]]="Phù phổi cấp", 1, 0)</f>
        <v>0</v>
      </c>
      <c r="R249" s="6">
        <f>IF(Form_Responses1[[#This Row],[phan_loai_the_lam_sang]]="Choáng tim", 1, 0)</f>
        <v>1</v>
      </c>
      <c r="S249" s="1" t="s">
        <v>28</v>
      </c>
      <c r="T249" s="6">
        <v>103</v>
      </c>
      <c r="U249" s="6">
        <v>100</v>
      </c>
      <c r="V249" s="6">
        <v>60</v>
      </c>
      <c r="W249" s="6">
        <f>IF(Form_Responses1[[#This Row],[hcvc]]="Không", 0, 1)</f>
        <v>0</v>
      </c>
      <c r="X249" s="1" t="s">
        <v>21</v>
      </c>
      <c r="Y249" s="6">
        <f>IF(Form_Responses1[[#This Row],[suy_ho_hap]]="Không", 0, 1)</f>
        <v>0</v>
      </c>
      <c r="Z249" s="1" t="s">
        <v>21</v>
      </c>
      <c r="AA249" s="6">
        <f>IF(Form_Responses1[[#This Row],[rung_nhi]]="Không", 0, 1)</f>
        <v>0</v>
      </c>
      <c r="AB249" s="1" t="s">
        <v>21</v>
      </c>
      <c r="AC249" s="6">
        <v>485</v>
      </c>
      <c r="AD249" s="6">
        <v>0.14000000000000001</v>
      </c>
      <c r="AE249" s="6">
        <v>7.7</v>
      </c>
      <c r="AF249" s="6">
        <v>141</v>
      </c>
      <c r="AG249" s="6">
        <v>205</v>
      </c>
      <c r="AH249" s="6">
        <v>138</v>
      </c>
      <c r="AI249" s="6">
        <v>4</v>
      </c>
      <c r="AJ249" s="6">
        <v>25</v>
      </c>
      <c r="AK249" s="6">
        <v>1.1200000000000001</v>
      </c>
      <c r="AL249" s="1" t="s">
        <v>21</v>
      </c>
      <c r="AM249" s="28">
        <v>20948</v>
      </c>
      <c r="AN249" s="6">
        <f>IF(Form_Responses1[[#This Row],[NT_proBNP &gt; 35000]]="Có", 35001, Form_Responses1[[#This Row],[NT_ProBNP]])</f>
        <v>20948</v>
      </c>
      <c r="AO249" s="27">
        <f>IF(Form_Responses1[[#This Row],[NT_proBNP &gt; 35000]]="Có", 1, 0)</f>
        <v>0</v>
      </c>
      <c r="AP249" s="6">
        <v>23.58</v>
      </c>
      <c r="AQ249" s="6">
        <v>192</v>
      </c>
      <c r="AR249" s="6">
        <v>287</v>
      </c>
      <c r="AS249" s="6">
        <v>220</v>
      </c>
      <c r="AT249" s="27">
        <v>37</v>
      </c>
      <c r="AU249" s="6">
        <v>57</v>
      </c>
      <c r="AV249" s="6">
        <v>66</v>
      </c>
      <c r="AW249" s="6">
        <v>23</v>
      </c>
      <c r="AX249" s="27">
        <v>40</v>
      </c>
      <c r="AY249" s="29">
        <f>IF(Form_Responses1[[#This Row],[ket_cuc]]="Không tử vong", 0, 1)</f>
        <v>0</v>
      </c>
      <c r="AZ249" s="1" t="s">
        <v>24</v>
      </c>
      <c r="BA249" s="32">
        <v>47</v>
      </c>
      <c r="BB249" s="32">
        <v>0.10171615172045244</v>
      </c>
    </row>
    <row r="250" spans="1:54" ht="13" x14ac:dyDescent="0.15">
      <c r="A250" s="2" t="s">
        <v>42</v>
      </c>
      <c r="B250" s="15">
        <v>76</v>
      </c>
      <c r="C250" s="15">
        <f>IF(Form_Responses1[[#This Row],[gioi_tinh]]="Nữ", 0, 1)</f>
        <v>0</v>
      </c>
      <c r="D250" s="2" t="s">
        <v>20</v>
      </c>
      <c r="E250" s="15">
        <v>22.9</v>
      </c>
      <c r="F250" s="15">
        <f>IF(Form_Responses1[[#This Row],[dai_thao_duong]]="Không", 0, 1)</f>
        <v>1</v>
      </c>
      <c r="G250" s="2" t="s">
        <v>22</v>
      </c>
      <c r="H250" s="15">
        <f t="shared" si="6"/>
        <v>1</v>
      </c>
      <c r="I250" s="2" t="s">
        <v>22</v>
      </c>
      <c r="J250" s="15">
        <f>IF(Form_Responses1[[#This Row],[hoi_chung_vanh_man]]="Không", 0, 1)</f>
        <v>1</v>
      </c>
      <c r="K250" s="14" t="s">
        <v>22</v>
      </c>
      <c r="L250" s="18">
        <f>IF(Form_Responses1[[#This Row],[ckd]]="Không", 0, 1)</f>
        <v>0</v>
      </c>
      <c r="M250" s="2" t="s">
        <v>21</v>
      </c>
      <c r="N250" s="15">
        <f t="shared" si="7"/>
        <v>0</v>
      </c>
      <c r="O250" s="2" t="s">
        <v>21</v>
      </c>
      <c r="P250" s="15">
        <f>IF(Form_Responses1[[#This Row],[phan_loai_the_lam_sang]]="Suy tim mất bù cấp", 1,0)</f>
        <v>0</v>
      </c>
      <c r="Q250" s="15">
        <f>IF(Form_Responses1[[#This Row],[phan_loai_the_lam_sang]]="Phù phổi cấp", 1, 0)</f>
        <v>0</v>
      </c>
      <c r="R250" s="15">
        <f>IF(Form_Responses1[[#This Row],[phan_loai_the_lam_sang]]="Choáng tim", 1, 0)</f>
        <v>1</v>
      </c>
      <c r="S250" s="2" t="s">
        <v>28</v>
      </c>
      <c r="T250" s="15">
        <v>176</v>
      </c>
      <c r="U250" s="15">
        <v>50</v>
      </c>
      <c r="V250" s="15">
        <v>30</v>
      </c>
      <c r="W250" s="15">
        <f>IF(Form_Responses1[[#This Row],[hcvc]]="Không", 0, 1)</f>
        <v>0</v>
      </c>
      <c r="X250" s="2" t="s">
        <v>21</v>
      </c>
      <c r="Y250" s="15">
        <f>IF(Form_Responses1[[#This Row],[suy_ho_hap]]="Không", 0, 1)</f>
        <v>0</v>
      </c>
      <c r="Z250" s="2" t="s">
        <v>21</v>
      </c>
      <c r="AA250" s="15">
        <f>IF(Form_Responses1[[#This Row],[rung_nhi]]="Không", 0, 1)</f>
        <v>1</v>
      </c>
      <c r="AB250" s="2" t="s">
        <v>22</v>
      </c>
      <c r="AC250" s="15">
        <v>357</v>
      </c>
      <c r="AD250" s="15">
        <v>0.08</v>
      </c>
      <c r="AE250" s="15">
        <v>16.8</v>
      </c>
      <c r="AF250" s="15">
        <v>131</v>
      </c>
      <c r="AG250" s="15">
        <v>180</v>
      </c>
      <c r="AH250" s="15">
        <v>140</v>
      </c>
      <c r="AI250" s="15">
        <v>5.2</v>
      </c>
      <c r="AJ250" s="15">
        <v>39</v>
      </c>
      <c r="AK250" s="15">
        <v>1.72</v>
      </c>
      <c r="AL250" s="2" t="s">
        <v>21</v>
      </c>
      <c r="AM250" s="2">
        <v>11703</v>
      </c>
      <c r="AN250" s="6">
        <f>IF(Form_Responses1[[#This Row],[NT_proBNP &gt; 35000]]="Có", 35001, Form_Responses1[[#This Row],[NT_ProBNP]])</f>
        <v>11703</v>
      </c>
      <c r="AO250" s="15">
        <f>IF(Form_Responses1[[#This Row],[NT_proBNP &gt; 35000]]="Có", 1, 0)</f>
        <v>0</v>
      </c>
      <c r="AP250" s="15">
        <v>3381.1</v>
      </c>
      <c r="AQ250" s="15">
        <v>2639</v>
      </c>
      <c r="AR250" s="15">
        <v>1671</v>
      </c>
      <c r="AS250" s="15">
        <v>161</v>
      </c>
      <c r="AT250" s="27">
        <v>48</v>
      </c>
      <c r="AU250" s="15">
        <v>47.8</v>
      </c>
      <c r="AV250" s="15">
        <v>54.6</v>
      </c>
      <c r="AW250" s="15">
        <v>23</v>
      </c>
      <c r="AX250" s="27">
        <v>40</v>
      </c>
      <c r="AY250" s="29">
        <f>IF(Form_Responses1[[#This Row],[ket_cuc]]="Không tử vong", 0, 1)</f>
        <v>1</v>
      </c>
      <c r="AZ250" s="2" t="s">
        <v>29</v>
      </c>
      <c r="BA250" s="32">
        <v>62</v>
      </c>
      <c r="BB250" s="32">
        <v>0.50629966662517079</v>
      </c>
    </row>
    <row r="251" spans="1:54" ht="13" x14ac:dyDescent="0.15">
      <c r="A251" s="1" t="s">
        <v>267</v>
      </c>
      <c r="B251" s="6">
        <v>40</v>
      </c>
      <c r="C251" s="6">
        <f>IF(Form_Responses1[[#This Row],[gioi_tinh]]="Nữ", 0, 1)</f>
        <v>1</v>
      </c>
      <c r="D251" s="1" t="s">
        <v>26</v>
      </c>
      <c r="E251" s="6">
        <v>18.7</v>
      </c>
      <c r="F251" s="6">
        <f>IF(Form_Responses1[[#This Row],[dai_thao_duong]]="Không", 0, 1)</f>
        <v>0</v>
      </c>
      <c r="G251" s="1" t="s">
        <v>21</v>
      </c>
      <c r="H251" s="6">
        <f t="shared" si="6"/>
        <v>0</v>
      </c>
      <c r="I251" s="1" t="s">
        <v>21</v>
      </c>
      <c r="J251" s="6">
        <f>IF(Form_Responses1[[#This Row],[hoi_chung_vanh_man]]="Không", 0, 1)</f>
        <v>0</v>
      </c>
      <c r="K251" s="1" t="s">
        <v>21</v>
      </c>
      <c r="L251" s="6">
        <f>IF(Form_Responses1[[#This Row],[ckd]]="Không", 0, 1)</f>
        <v>0</v>
      </c>
      <c r="M251" s="1" t="s">
        <v>21</v>
      </c>
      <c r="N251" s="6">
        <f t="shared" si="7"/>
        <v>0</v>
      </c>
      <c r="O251" s="1" t="s">
        <v>21</v>
      </c>
      <c r="P251" s="6">
        <f>IF(Form_Responses1[[#This Row],[phan_loai_the_lam_sang]]="Suy tim mất bù cấp", 1,0)</f>
        <v>1</v>
      </c>
      <c r="Q251" s="6">
        <f>IF(Form_Responses1[[#This Row],[phan_loai_the_lam_sang]]="Phù phổi cấp", 1, 0)</f>
        <v>0</v>
      </c>
      <c r="R251" s="6">
        <f>IF(Form_Responses1[[#This Row],[phan_loai_the_lam_sang]]="Choáng tim", 1, 0)</f>
        <v>0</v>
      </c>
      <c r="S251" s="1" t="s">
        <v>23</v>
      </c>
      <c r="T251" s="6">
        <v>108</v>
      </c>
      <c r="U251" s="6">
        <v>130</v>
      </c>
      <c r="V251" s="6">
        <v>100</v>
      </c>
      <c r="W251" s="6">
        <f>IF(Form_Responses1[[#This Row],[hcvc]]="Không", 0, 1)</f>
        <v>0</v>
      </c>
      <c r="X251" s="1" t="s">
        <v>21</v>
      </c>
      <c r="Y251" s="6">
        <f>IF(Form_Responses1[[#This Row],[suy_ho_hap]]="Không", 0, 1)</f>
        <v>1</v>
      </c>
      <c r="Z251" s="1" t="s">
        <v>22</v>
      </c>
      <c r="AA251" s="6">
        <f>IF(Form_Responses1[[#This Row],[rung_nhi]]="Không", 0, 1)</f>
        <v>0</v>
      </c>
      <c r="AB251" s="1" t="s">
        <v>21</v>
      </c>
      <c r="AC251" s="6">
        <v>454</v>
      </c>
      <c r="AD251" s="6">
        <v>7.0000000000000007E-2</v>
      </c>
      <c r="AE251" s="6">
        <v>13.34</v>
      </c>
      <c r="AF251" s="6">
        <v>138</v>
      </c>
      <c r="AG251" s="6">
        <v>409</v>
      </c>
      <c r="AH251" s="6">
        <v>133</v>
      </c>
      <c r="AI251" s="6">
        <v>3.5</v>
      </c>
      <c r="AJ251" s="6">
        <v>8.9</v>
      </c>
      <c r="AK251" s="6">
        <v>0.66</v>
      </c>
      <c r="AL251" s="1" t="s">
        <v>21</v>
      </c>
      <c r="AM251" s="28">
        <v>4245.05</v>
      </c>
      <c r="AN251" s="6">
        <f>IF(Form_Responses1[[#This Row],[NT_proBNP &gt; 35000]]="Có", 35001, Form_Responses1[[#This Row],[NT_ProBNP]])</f>
        <v>4245.05</v>
      </c>
      <c r="AO251" s="27">
        <f>IF(Form_Responses1[[#This Row],[NT_proBNP &gt; 35000]]="Có", 1, 0)</f>
        <v>0</v>
      </c>
      <c r="AP251" s="6">
        <v>16</v>
      </c>
      <c r="AQ251" s="6">
        <v>185</v>
      </c>
      <c r="AR251" s="6">
        <v>89</v>
      </c>
      <c r="AS251" s="6">
        <v>173</v>
      </c>
      <c r="AT251" s="27">
        <v>45.9</v>
      </c>
      <c r="AU251" s="6">
        <v>55</v>
      </c>
      <c r="AV251" s="6">
        <v>59</v>
      </c>
      <c r="AW251" s="6">
        <v>22</v>
      </c>
      <c r="AX251" s="6">
        <v>47</v>
      </c>
      <c r="AY251" s="24">
        <f>IF(Form_Responses1[[#This Row],[ket_cuc]]="Không tử vong", 0, 1)</f>
        <v>0</v>
      </c>
      <c r="AZ251" s="1" t="s">
        <v>24</v>
      </c>
      <c r="BA251" s="32">
        <v>35</v>
      </c>
      <c r="BB251" s="32">
        <v>2.0143588359422721E-2</v>
      </c>
    </row>
    <row r="252" spans="1:54" ht="13" x14ac:dyDescent="0.15">
      <c r="A252" s="2" t="s">
        <v>25</v>
      </c>
      <c r="B252" s="15">
        <v>65</v>
      </c>
      <c r="C252" s="15">
        <f>IF(Form_Responses1[[#This Row],[gioi_tinh]]="Nữ", 0, 1)</f>
        <v>1</v>
      </c>
      <c r="D252" s="2" t="s">
        <v>26</v>
      </c>
      <c r="E252" s="15">
        <v>17.420000000000002</v>
      </c>
      <c r="F252" s="15">
        <f>IF(Form_Responses1[[#This Row],[dai_thao_duong]]="Không", 0, 1)</f>
        <v>1</v>
      </c>
      <c r="G252" s="2" t="s">
        <v>22</v>
      </c>
      <c r="H252" s="15">
        <f t="shared" si="6"/>
        <v>1</v>
      </c>
      <c r="I252" s="2" t="s">
        <v>22</v>
      </c>
      <c r="J252" s="15">
        <f>IF(Form_Responses1[[#This Row],[hoi_chung_vanh_man]]="Không", 0, 1)</f>
        <v>0</v>
      </c>
      <c r="K252" s="2" t="s">
        <v>21</v>
      </c>
      <c r="L252" s="15">
        <f>IF(Form_Responses1[[#This Row],[ckd]]="Không", 0, 1)</f>
        <v>0</v>
      </c>
      <c r="M252" s="2" t="s">
        <v>21</v>
      </c>
      <c r="N252" s="15">
        <f t="shared" si="7"/>
        <v>0</v>
      </c>
      <c r="O252" s="2" t="s">
        <v>21</v>
      </c>
      <c r="P252" s="15">
        <f>IF(Form_Responses1[[#This Row],[phan_loai_the_lam_sang]]="Suy tim mất bù cấp", 1,0)</f>
        <v>1</v>
      </c>
      <c r="Q252" s="15">
        <f>IF(Form_Responses1[[#This Row],[phan_loai_the_lam_sang]]="Phù phổi cấp", 1, 0)</f>
        <v>0</v>
      </c>
      <c r="R252" s="15">
        <f>IF(Form_Responses1[[#This Row],[phan_loai_the_lam_sang]]="Choáng tim", 1, 0)</f>
        <v>0</v>
      </c>
      <c r="S252" s="2" t="s">
        <v>23</v>
      </c>
      <c r="T252" s="15">
        <v>98</v>
      </c>
      <c r="U252" s="15">
        <v>120</v>
      </c>
      <c r="V252" s="15">
        <v>80</v>
      </c>
      <c r="W252" s="15">
        <f>IF(Form_Responses1[[#This Row],[hcvc]]="Không", 0, 1)</f>
        <v>0</v>
      </c>
      <c r="X252" s="2" t="s">
        <v>21</v>
      </c>
      <c r="Y252" s="15">
        <f>IF(Form_Responses1[[#This Row],[suy_ho_hap]]="Không", 0, 1)</f>
        <v>0</v>
      </c>
      <c r="Z252" s="2" t="s">
        <v>21</v>
      </c>
      <c r="AA252" s="15">
        <f>IF(Form_Responses1[[#This Row],[rung_nhi]]="Không", 0, 1)</f>
        <v>0</v>
      </c>
      <c r="AB252" s="2" t="s">
        <v>21</v>
      </c>
      <c r="AC252" s="15">
        <v>458</v>
      </c>
      <c r="AD252" s="15">
        <v>0.12</v>
      </c>
      <c r="AE252" s="15">
        <v>7.17</v>
      </c>
      <c r="AF252" s="15">
        <v>131</v>
      </c>
      <c r="AG252" s="15">
        <v>178</v>
      </c>
      <c r="AH252" s="15">
        <v>137</v>
      </c>
      <c r="AI252" s="15">
        <v>4.4000000000000004</v>
      </c>
      <c r="AJ252" s="15">
        <v>18.22</v>
      </c>
      <c r="AK252" s="15">
        <v>1.6</v>
      </c>
      <c r="AL252" s="2" t="s">
        <v>22</v>
      </c>
      <c r="AM252" s="12"/>
      <c r="AN252" s="6">
        <f>IF(Form_Responses1[[#This Row],[NT_proBNP &gt; 35000]]="Có", 35001, Form_Responses1[[#This Row],[NT_ProBNP]])</f>
        <v>35001</v>
      </c>
      <c r="AO252" s="18">
        <f>IF(Form_Responses1[[#This Row],[NT_proBNP &gt; 35000]]="Có", 1, 0)</f>
        <v>1</v>
      </c>
      <c r="AP252" s="15">
        <v>16.63</v>
      </c>
      <c r="AQ252" s="15">
        <v>35</v>
      </c>
      <c r="AR252" s="15">
        <v>43</v>
      </c>
      <c r="AS252" s="15">
        <v>88</v>
      </c>
      <c r="AT252" s="15">
        <v>39</v>
      </c>
      <c r="AU252" s="15">
        <v>59</v>
      </c>
      <c r="AV252" s="15">
        <v>66</v>
      </c>
      <c r="AW252" s="15">
        <v>22</v>
      </c>
      <c r="AX252" s="15">
        <v>37</v>
      </c>
      <c r="AY252" s="22">
        <f>IF(Form_Responses1[[#This Row],[ket_cuc]]="Không tử vong", 0, 1)</f>
        <v>0</v>
      </c>
      <c r="AZ252" s="2" t="s">
        <v>24</v>
      </c>
      <c r="BA252" s="32">
        <v>40</v>
      </c>
      <c r="BB252" s="32">
        <v>6.2156015736088449E-2</v>
      </c>
    </row>
    <row r="253" spans="1:54" ht="13" x14ac:dyDescent="0.15">
      <c r="A253" s="1" t="s">
        <v>75</v>
      </c>
      <c r="B253" s="6">
        <v>45</v>
      </c>
      <c r="C253" s="6">
        <f>IF(Form_Responses1[[#This Row],[gioi_tinh]]="Nữ", 0, 1)</f>
        <v>1</v>
      </c>
      <c r="D253" s="1" t="s">
        <v>26</v>
      </c>
      <c r="E253" s="6">
        <v>22</v>
      </c>
      <c r="F253" s="6">
        <f>IF(Form_Responses1[[#This Row],[dai_thao_duong]]="Không", 0, 1)</f>
        <v>0</v>
      </c>
      <c r="G253" s="1" t="s">
        <v>21</v>
      </c>
      <c r="H253" s="6">
        <f t="shared" si="6"/>
        <v>0</v>
      </c>
      <c r="I253" s="1" t="s">
        <v>21</v>
      </c>
      <c r="J253" s="6">
        <f>IF(Form_Responses1[[#This Row],[hoi_chung_vanh_man]]="Không", 0, 1)</f>
        <v>0</v>
      </c>
      <c r="K253" s="1" t="s">
        <v>21</v>
      </c>
      <c r="L253" s="6">
        <f>IF(Form_Responses1[[#This Row],[ckd]]="Không", 0, 1)</f>
        <v>0</v>
      </c>
      <c r="M253" s="1" t="s">
        <v>21</v>
      </c>
      <c r="N253" s="6">
        <f t="shared" si="7"/>
        <v>0</v>
      </c>
      <c r="O253" s="1" t="s">
        <v>21</v>
      </c>
      <c r="P253" s="6">
        <f>IF(Form_Responses1[[#This Row],[phan_loai_the_lam_sang]]="Suy tim mất bù cấp", 1,0)</f>
        <v>1</v>
      </c>
      <c r="Q253" s="6">
        <f>IF(Form_Responses1[[#This Row],[phan_loai_the_lam_sang]]="Phù phổi cấp", 1, 0)</f>
        <v>0</v>
      </c>
      <c r="R253" s="6">
        <f>IF(Form_Responses1[[#This Row],[phan_loai_the_lam_sang]]="Choáng tim", 1, 0)</f>
        <v>0</v>
      </c>
      <c r="S253" s="1" t="s">
        <v>23</v>
      </c>
      <c r="T253" s="6">
        <v>106</v>
      </c>
      <c r="U253" s="6">
        <v>110</v>
      </c>
      <c r="V253" s="6">
        <v>80</v>
      </c>
      <c r="W253" s="6">
        <f>IF(Form_Responses1[[#This Row],[hcvc]]="Không", 0, 1)</f>
        <v>0</v>
      </c>
      <c r="X253" s="1" t="s">
        <v>21</v>
      </c>
      <c r="Y253" s="6">
        <f>IF(Form_Responses1[[#This Row],[suy_ho_hap]]="Không", 0, 1)</f>
        <v>0</v>
      </c>
      <c r="Z253" s="1" t="s">
        <v>21</v>
      </c>
      <c r="AA253" s="6">
        <f>IF(Form_Responses1[[#This Row],[rung_nhi]]="Không", 0, 1)</f>
        <v>0</v>
      </c>
      <c r="AB253" s="1" t="s">
        <v>21</v>
      </c>
      <c r="AC253" s="6">
        <v>465</v>
      </c>
      <c r="AD253" s="6">
        <v>0.08</v>
      </c>
      <c r="AE253" s="6">
        <v>5.9</v>
      </c>
      <c r="AF253" s="6">
        <v>131</v>
      </c>
      <c r="AG253" s="6">
        <v>170</v>
      </c>
      <c r="AH253" s="6">
        <v>131</v>
      </c>
      <c r="AI253" s="6">
        <v>4.0999999999999996</v>
      </c>
      <c r="AJ253" s="6">
        <v>24</v>
      </c>
      <c r="AK253" s="6">
        <v>0.96</v>
      </c>
      <c r="AL253" s="1" t="s">
        <v>21</v>
      </c>
      <c r="AM253" s="28">
        <v>3617.1</v>
      </c>
      <c r="AN253" s="6">
        <f>IF(Form_Responses1[[#This Row],[NT_proBNP &gt; 35000]]="Có", 35001, Form_Responses1[[#This Row],[NT_ProBNP]])</f>
        <v>3617.1</v>
      </c>
      <c r="AO253" s="27">
        <f>IF(Form_Responses1[[#This Row],[NT_proBNP &gt; 35000]]="Có", 1, 0)</f>
        <v>0</v>
      </c>
      <c r="AP253" s="6">
        <v>26.05</v>
      </c>
      <c r="AQ253" s="6">
        <v>69</v>
      </c>
      <c r="AR253" s="6">
        <v>49</v>
      </c>
      <c r="AS253" s="6">
        <v>97</v>
      </c>
      <c r="AT253" s="27">
        <v>36</v>
      </c>
      <c r="AU253" s="6">
        <v>59</v>
      </c>
      <c r="AV253" s="6">
        <v>64</v>
      </c>
      <c r="AW253" s="6">
        <v>22</v>
      </c>
      <c r="AX253" s="27">
        <v>15</v>
      </c>
      <c r="AY253" s="29">
        <f>IF(Form_Responses1[[#This Row],[ket_cuc]]="Không tử vong", 0, 1)</f>
        <v>0</v>
      </c>
      <c r="AZ253" s="1" t="s">
        <v>24</v>
      </c>
      <c r="BA253" s="32">
        <v>43</v>
      </c>
      <c r="BB253" s="32">
        <v>4.4676602017985151E-2</v>
      </c>
    </row>
    <row r="254" spans="1:54" ht="13" x14ac:dyDescent="0.15">
      <c r="A254" s="2" t="s">
        <v>212</v>
      </c>
      <c r="B254" s="15">
        <v>60</v>
      </c>
      <c r="C254" s="15">
        <f>IF(Form_Responses1[[#This Row],[gioi_tinh]]="Nữ", 0, 1)</f>
        <v>1</v>
      </c>
      <c r="D254" s="2" t="s">
        <v>26</v>
      </c>
      <c r="E254" s="15">
        <v>25.4</v>
      </c>
      <c r="F254" s="15">
        <f>IF(Form_Responses1[[#This Row],[dai_thao_duong]]="Không", 0, 1)</f>
        <v>0</v>
      </c>
      <c r="G254" s="2" t="s">
        <v>21</v>
      </c>
      <c r="H254" s="15">
        <f t="shared" si="6"/>
        <v>0</v>
      </c>
      <c r="I254" s="2" t="s">
        <v>21</v>
      </c>
      <c r="J254" s="15">
        <f>IF(Form_Responses1[[#This Row],[hoi_chung_vanh_man]]="Không", 0, 1)</f>
        <v>0</v>
      </c>
      <c r="K254" s="2" t="s">
        <v>21</v>
      </c>
      <c r="L254" s="15">
        <f>IF(Form_Responses1[[#This Row],[ckd]]="Không", 0, 1)</f>
        <v>0</v>
      </c>
      <c r="M254" s="2" t="s">
        <v>21</v>
      </c>
      <c r="N254" s="15">
        <f t="shared" si="7"/>
        <v>0</v>
      </c>
      <c r="O254" s="2" t="s">
        <v>21</v>
      </c>
      <c r="P254" s="15">
        <f>IF(Form_Responses1[[#This Row],[phan_loai_the_lam_sang]]="Suy tim mất bù cấp", 1,0)</f>
        <v>1</v>
      </c>
      <c r="Q254" s="15">
        <f>IF(Form_Responses1[[#This Row],[phan_loai_the_lam_sang]]="Phù phổi cấp", 1, 0)</f>
        <v>0</v>
      </c>
      <c r="R254" s="15">
        <f>IF(Form_Responses1[[#This Row],[phan_loai_the_lam_sang]]="Choáng tim", 1, 0)</f>
        <v>0</v>
      </c>
      <c r="S254" s="2" t="s">
        <v>23</v>
      </c>
      <c r="T254" s="15">
        <v>92</v>
      </c>
      <c r="U254" s="15">
        <v>160</v>
      </c>
      <c r="V254" s="15">
        <v>100</v>
      </c>
      <c r="W254" s="15">
        <f>IF(Form_Responses1[[#This Row],[hcvc]]="Không", 0, 1)</f>
        <v>0</v>
      </c>
      <c r="X254" s="2" t="s">
        <v>21</v>
      </c>
      <c r="Y254" s="15">
        <f>IF(Form_Responses1[[#This Row],[suy_ho_hap]]="Không", 0, 1)</f>
        <v>1</v>
      </c>
      <c r="Z254" s="2" t="s">
        <v>22</v>
      </c>
      <c r="AA254" s="15">
        <f>IF(Form_Responses1[[#This Row],[rung_nhi]]="Không", 0, 1)</f>
        <v>0</v>
      </c>
      <c r="AB254" s="2" t="s">
        <v>21</v>
      </c>
      <c r="AC254" s="15">
        <v>388</v>
      </c>
      <c r="AD254" s="15">
        <v>0.08</v>
      </c>
      <c r="AE254" s="15">
        <v>8.6</v>
      </c>
      <c r="AF254" s="15">
        <v>133</v>
      </c>
      <c r="AG254" s="15">
        <v>289</v>
      </c>
      <c r="AH254" s="15">
        <v>141</v>
      </c>
      <c r="AI254" s="15">
        <v>3.1</v>
      </c>
      <c r="AJ254" s="15">
        <v>13</v>
      </c>
      <c r="AK254" s="15">
        <v>0.91</v>
      </c>
      <c r="AL254" s="2" t="s">
        <v>21</v>
      </c>
      <c r="AM254" s="28">
        <v>3897.44</v>
      </c>
      <c r="AN254" s="6">
        <f>IF(Form_Responses1[[#This Row],[NT_proBNP &gt; 35000]]="Có", 35001, Form_Responses1[[#This Row],[NT_ProBNP]])</f>
        <v>3897.44</v>
      </c>
      <c r="AO254" s="27">
        <f>IF(Form_Responses1[[#This Row],[NT_proBNP &gt; 35000]]="Có", 1, 0)</f>
        <v>0</v>
      </c>
      <c r="AP254" s="15">
        <v>30.8</v>
      </c>
      <c r="AQ254" s="15">
        <v>24</v>
      </c>
      <c r="AR254" s="15">
        <v>22</v>
      </c>
      <c r="AS254" s="15">
        <v>92</v>
      </c>
      <c r="AT254" s="27">
        <v>38</v>
      </c>
      <c r="AU254" s="15">
        <v>48</v>
      </c>
      <c r="AV254" s="15">
        <v>62</v>
      </c>
      <c r="AW254" s="15">
        <v>22</v>
      </c>
      <c r="AX254" s="18"/>
      <c r="AY254" s="26">
        <f>IF(Form_Responses1[[#This Row],[ket_cuc]]="Không tử vong", 0, 1)</f>
        <v>0</v>
      </c>
      <c r="AZ254" s="2" t="s">
        <v>24</v>
      </c>
      <c r="BA254" s="32">
        <v>31</v>
      </c>
      <c r="BB254" s="32">
        <v>3.133448859060621E-2</v>
      </c>
    </row>
    <row r="255" spans="1:54" ht="13" x14ac:dyDescent="0.15">
      <c r="A255" s="1" t="s">
        <v>337</v>
      </c>
      <c r="B255" s="6">
        <v>74</v>
      </c>
      <c r="C255" s="6">
        <f>IF(Form_Responses1[[#This Row],[gioi_tinh]]="Nữ", 0, 1)</f>
        <v>1</v>
      </c>
      <c r="D255" s="1" t="s">
        <v>26</v>
      </c>
      <c r="E255" s="6">
        <v>21.1</v>
      </c>
      <c r="F255" s="6">
        <f>IF(Form_Responses1[[#This Row],[dai_thao_duong]]="Không", 0, 1)</f>
        <v>0</v>
      </c>
      <c r="G255" s="1" t="s">
        <v>21</v>
      </c>
      <c r="H255" s="6">
        <f t="shared" si="6"/>
        <v>0</v>
      </c>
      <c r="I255" s="1" t="s">
        <v>21</v>
      </c>
      <c r="J255" s="6">
        <f>IF(Form_Responses1[[#This Row],[hoi_chung_vanh_man]]="Không", 0, 1)</f>
        <v>1</v>
      </c>
      <c r="K255" s="1" t="s">
        <v>22</v>
      </c>
      <c r="L255" s="6">
        <f>IF(Form_Responses1[[#This Row],[ckd]]="Không", 0, 1)</f>
        <v>0</v>
      </c>
      <c r="M255" s="1" t="s">
        <v>21</v>
      </c>
      <c r="N255" s="6">
        <f t="shared" si="7"/>
        <v>0</v>
      </c>
      <c r="O255" s="1" t="s">
        <v>21</v>
      </c>
      <c r="P255" s="6">
        <f>IF(Form_Responses1[[#This Row],[phan_loai_the_lam_sang]]="Suy tim mất bù cấp", 1,0)</f>
        <v>1</v>
      </c>
      <c r="Q255" s="6">
        <f>IF(Form_Responses1[[#This Row],[phan_loai_the_lam_sang]]="Phù phổi cấp", 1, 0)</f>
        <v>0</v>
      </c>
      <c r="R255" s="6">
        <f>IF(Form_Responses1[[#This Row],[phan_loai_the_lam_sang]]="Choáng tim", 1, 0)</f>
        <v>0</v>
      </c>
      <c r="S255" s="1" t="s">
        <v>23</v>
      </c>
      <c r="T255" s="6">
        <v>86</v>
      </c>
      <c r="U255" s="6">
        <v>130</v>
      </c>
      <c r="V255" s="6">
        <v>90</v>
      </c>
      <c r="W255" s="6">
        <f>IF(Form_Responses1[[#This Row],[hcvc]]="Không", 0, 1)</f>
        <v>0</v>
      </c>
      <c r="X255" s="1" t="s">
        <v>21</v>
      </c>
      <c r="Y255" s="6">
        <f>IF(Form_Responses1[[#This Row],[suy_ho_hap]]="Không", 0, 1)</f>
        <v>0</v>
      </c>
      <c r="Z255" s="1" t="s">
        <v>21</v>
      </c>
      <c r="AA255" s="6">
        <f>IF(Form_Responses1[[#This Row],[rung_nhi]]="Không", 0, 1)</f>
        <v>0</v>
      </c>
      <c r="AB255" s="1" t="s">
        <v>21</v>
      </c>
      <c r="AC255" s="6">
        <v>436</v>
      </c>
      <c r="AD255" s="6">
        <v>0.08</v>
      </c>
      <c r="AE255" s="6">
        <v>7.49</v>
      </c>
      <c r="AF255" s="6">
        <v>122</v>
      </c>
      <c r="AG255" s="6">
        <v>190</v>
      </c>
      <c r="AH255" s="6">
        <v>138</v>
      </c>
      <c r="AI255" s="6">
        <v>3.9</v>
      </c>
      <c r="AJ255" s="6">
        <v>16</v>
      </c>
      <c r="AK255" s="6">
        <v>0.89</v>
      </c>
      <c r="AL255" s="1" t="s">
        <v>21</v>
      </c>
      <c r="AM255" s="1">
        <v>3445.9</v>
      </c>
      <c r="AN255" s="6">
        <f>IF(Form_Responses1[[#This Row],[NT_proBNP &gt; 35000]]="Có", 35001, Form_Responses1[[#This Row],[NT_ProBNP]])</f>
        <v>3445.9</v>
      </c>
      <c r="AO255" s="6">
        <f>IF(Form_Responses1[[#This Row],[NT_proBNP &gt; 35000]]="Có", 1, 0)</f>
        <v>0</v>
      </c>
      <c r="AP255" s="6">
        <v>41.88</v>
      </c>
      <c r="AQ255" s="6">
        <v>21</v>
      </c>
      <c r="AR255" s="6">
        <v>16</v>
      </c>
      <c r="AS255" s="6">
        <v>95</v>
      </c>
      <c r="AT255" s="6">
        <v>42</v>
      </c>
      <c r="AU255" s="6">
        <v>53</v>
      </c>
      <c r="AV255" s="6">
        <v>59</v>
      </c>
      <c r="AW255" s="6">
        <v>22</v>
      </c>
      <c r="AX255" s="6">
        <v>55</v>
      </c>
      <c r="AY255" s="24">
        <f>IF(Form_Responses1[[#This Row],[ket_cuc]]="Không tử vong", 0, 1)</f>
        <v>0</v>
      </c>
      <c r="AZ255" s="1" t="s">
        <v>24</v>
      </c>
      <c r="BA255" s="32">
        <v>39</v>
      </c>
      <c r="BB255" s="32">
        <v>5.4629648958323396E-2</v>
      </c>
    </row>
    <row r="256" spans="1:54" ht="13" x14ac:dyDescent="0.15">
      <c r="A256" s="2" t="s">
        <v>66</v>
      </c>
      <c r="B256" s="15">
        <v>51</v>
      </c>
      <c r="C256" s="15">
        <f>IF(Form_Responses1[[#This Row],[gioi_tinh]]="Nữ", 0, 1)</f>
        <v>1</v>
      </c>
      <c r="D256" s="2" t="s">
        <v>26</v>
      </c>
      <c r="E256" s="15">
        <v>21.9</v>
      </c>
      <c r="F256" s="15">
        <f>IF(Form_Responses1[[#This Row],[dai_thao_duong]]="Không", 0, 1)</f>
        <v>0</v>
      </c>
      <c r="G256" s="2" t="s">
        <v>21</v>
      </c>
      <c r="H256" s="15">
        <f t="shared" si="6"/>
        <v>0</v>
      </c>
      <c r="I256" s="2" t="s">
        <v>21</v>
      </c>
      <c r="J256" s="15">
        <f>IF(Form_Responses1[[#This Row],[hoi_chung_vanh_man]]="Không", 0, 1)</f>
        <v>0</v>
      </c>
      <c r="K256" s="2" t="s">
        <v>21</v>
      </c>
      <c r="L256" s="15">
        <f>IF(Form_Responses1[[#This Row],[ckd]]="Không", 0, 1)</f>
        <v>0</v>
      </c>
      <c r="M256" s="2" t="s">
        <v>21</v>
      </c>
      <c r="N256" s="15">
        <f t="shared" si="7"/>
        <v>0</v>
      </c>
      <c r="O256" s="2" t="s">
        <v>21</v>
      </c>
      <c r="P256" s="15">
        <f>IF(Form_Responses1[[#This Row],[phan_loai_the_lam_sang]]="Suy tim mất bù cấp", 1,0)</f>
        <v>1</v>
      </c>
      <c r="Q256" s="15">
        <f>IF(Form_Responses1[[#This Row],[phan_loai_the_lam_sang]]="Phù phổi cấp", 1, 0)</f>
        <v>0</v>
      </c>
      <c r="R256" s="15">
        <f>IF(Form_Responses1[[#This Row],[phan_loai_the_lam_sang]]="Choáng tim", 1, 0)</f>
        <v>0</v>
      </c>
      <c r="S256" s="2" t="s">
        <v>23</v>
      </c>
      <c r="T256" s="15">
        <v>102</v>
      </c>
      <c r="U256" s="15">
        <v>120</v>
      </c>
      <c r="V256" s="15">
        <v>90</v>
      </c>
      <c r="W256" s="15">
        <f>IF(Form_Responses1[[#This Row],[hcvc]]="Không", 0, 1)</f>
        <v>0</v>
      </c>
      <c r="X256" s="2" t="s">
        <v>21</v>
      </c>
      <c r="Y256" s="15">
        <f>IF(Form_Responses1[[#This Row],[suy_ho_hap]]="Không", 0, 1)</f>
        <v>0</v>
      </c>
      <c r="Z256" s="2" t="s">
        <v>21</v>
      </c>
      <c r="AA256" s="15">
        <f>IF(Form_Responses1[[#This Row],[rung_nhi]]="Không", 0, 1)</f>
        <v>0</v>
      </c>
      <c r="AB256" s="2" t="s">
        <v>21</v>
      </c>
      <c r="AC256" s="15">
        <v>374</v>
      </c>
      <c r="AD256" s="15">
        <v>0.08</v>
      </c>
      <c r="AE256" s="15">
        <v>14.38</v>
      </c>
      <c r="AF256" s="15">
        <v>156</v>
      </c>
      <c r="AG256" s="15">
        <v>158</v>
      </c>
      <c r="AH256" s="15">
        <v>130</v>
      </c>
      <c r="AI256" s="15">
        <v>5</v>
      </c>
      <c r="AJ256" s="15">
        <v>8.9</v>
      </c>
      <c r="AK256" s="15">
        <v>1.03</v>
      </c>
      <c r="AL256" s="2" t="s">
        <v>21</v>
      </c>
      <c r="AM256" s="2">
        <v>3024.3</v>
      </c>
      <c r="AN256" s="6">
        <f>IF(Form_Responses1[[#This Row],[NT_proBNP &gt; 35000]]="Có", 35001, Form_Responses1[[#This Row],[NT_ProBNP]])</f>
        <v>3024.3</v>
      </c>
      <c r="AO256" s="15">
        <f>IF(Form_Responses1[[#This Row],[NT_proBNP &gt; 35000]]="Có", 1, 0)</f>
        <v>0</v>
      </c>
      <c r="AP256" s="15">
        <v>47.65</v>
      </c>
      <c r="AQ256" s="15">
        <v>133</v>
      </c>
      <c r="AR256" s="15">
        <v>115</v>
      </c>
      <c r="AS256" s="15">
        <v>75</v>
      </c>
      <c r="AT256" s="15">
        <v>50</v>
      </c>
      <c r="AU256" s="15">
        <v>62.6</v>
      </c>
      <c r="AV256" s="15">
        <v>70.400000000000006</v>
      </c>
      <c r="AW256" s="15">
        <v>22</v>
      </c>
      <c r="AX256" s="27">
        <v>68</v>
      </c>
      <c r="AY256" s="29">
        <f>IF(Form_Responses1[[#This Row],[ket_cuc]]="Không tử vong", 0, 1)</f>
        <v>0</v>
      </c>
      <c r="AZ256" s="2" t="s">
        <v>24</v>
      </c>
      <c r="BA256" s="32">
        <v>39</v>
      </c>
      <c r="BB256" s="32">
        <v>3.0640288549891582E-2</v>
      </c>
    </row>
    <row r="257" spans="1:54" ht="13" x14ac:dyDescent="0.15">
      <c r="A257" s="1" t="s">
        <v>51</v>
      </c>
      <c r="B257" s="6">
        <v>33</v>
      </c>
      <c r="C257" s="6">
        <f>IF(Form_Responses1[[#This Row],[gioi_tinh]]="Nữ", 0, 1)</f>
        <v>1</v>
      </c>
      <c r="D257" s="1" t="s">
        <v>26</v>
      </c>
      <c r="E257" s="6">
        <v>25</v>
      </c>
      <c r="F257" s="6">
        <f>IF(Form_Responses1[[#This Row],[dai_thao_duong]]="Không", 0, 1)</f>
        <v>0</v>
      </c>
      <c r="G257" s="1" t="s">
        <v>21</v>
      </c>
      <c r="H257" s="6">
        <f t="shared" si="6"/>
        <v>0</v>
      </c>
      <c r="I257" s="1" t="s">
        <v>21</v>
      </c>
      <c r="J257" s="6">
        <f>IF(Form_Responses1[[#This Row],[hoi_chung_vanh_man]]="Không", 0, 1)</f>
        <v>0</v>
      </c>
      <c r="K257" s="1" t="s">
        <v>21</v>
      </c>
      <c r="L257" s="6">
        <f>IF(Form_Responses1[[#This Row],[ckd]]="Không", 0, 1)</f>
        <v>0</v>
      </c>
      <c r="M257" s="1" t="s">
        <v>21</v>
      </c>
      <c r="N257" s="6">
        <f t="shared" si="7"/>
        <v>0</v>
      </c>
      <c r="O257" s="1" t="s">
        <v>21</v>
      </c>
      <c r="P257" s="6">
        <f>IF(Form_Responses1[[#This Row],[phan_loai_the_lam_sang]]="Suy tim mất bù cấp", 1,0)</f>
        <v>1</v>
      </c>
      <c r="Q257" s="6">
        <f>IF(Form_Responses1[[#This Row],[phan_loai_the_lam_sang]]="Phù phổi cấp", 1, 0)</f>
        <v>0</v>
      </c>
      <c r="R257" s="6">
        <f>IF(Form_Responses1[[#This Row],[phan_loai_the_lam_sang]]="Choáng tim", 1, 0)</f>
        <v>0</v>
      </c>
      <c r="S257" s="1" t="s">
        <v>23</v>
      </c>
      <c r="T257" s="6">
        <v>114</v>
      </c>
      <c r="U257" s="6">
        <v>120</v>
      </c>
      <c r="V257" s="6">
        <v>80</v>
      </c>
      <c r="W257" s="6">
        <f>IF(Form_Responses1[[#This Row],[hcvc]]="Không", 0, 1)</f>
        <v>0</v>
      </c>
      <c r="X257" s="1" t="s">
        <v>21</v>
      </c>
      <c r="Y257" s="13">
        <f>IF(Form_Responses1[[#This Row],[suy_ho_hap]]="Không", 0, 1)</f>
        <v>0</v>
      </c>
      <c r="Z257" s="1" t="s">
        <v>21</v>
      </c>
      <c r="AA257" s="6">
        <f>IF(Form_Responses1[[#This Row],[rung_nhi]]="Không", 0, 1)</f>
        <v>0</v>
      </c>
      <c r="AB257" s="11" t="s">
        <v>21</v>
      </c>
      <c r="AC257" s="6">
        <v>444</v>
      </c>
      <c r="AD257" s="6">
        <v>0.06</v>
      </c>
      <c r="AE257" s="6">
        <v>10.02</v>
      </c>
      <c r="AF257" s="6">
        <v>145</v>
      </c>
      <c r="AG257" s="6">
        <v>135</v>
      </c>
      <c r="AH257" s="6">
        <v>135</v>
      </c>
      <c r="AI257" s="6">
        <v>3.4</v>
      </c>
      <c r="AJ257" s="6">
        <v>21</v>
      </c>
      <c r="AK257" s="6">
        <v>0.92</v>
      </c>
      <c r="AL257" s="1" t="s">
        <v>21</v>
      </c>
      <c r="AM257" s="1">
        <v>6822.95</v>
      </c>
      <c r="AN257" s="6">
        <f>IF(Form_Responses1[[#This Row],[NT_proBNP &gt; 35000]]="Có", 35001, Form_Responses1[[#This Row],[NT_ProBNP]])</f>
        <v>6822.95</v>
      </c>
      <c r="AO257" s="6">
        <f>IF(Form_Responses1[[#This Row],[NT_proBNP &gt; 35000]]="Có", 1, 0)</f>
        <v>0</v>
      </c>
      <c r="AP257" s="6">
        <v>186.4</v>
      </c>
      <c r="AQ257" s="6">
        <v>41</v>
      </c>
      <c r="AR257" s="6">
        <v>18</v>
      </c>
      <c r="AS257" s="6">
        <v>107</v>
      </c>
      <c r="AT257" s="6">
        <v>24</v>
      </c>
      <c r="AU257" s="6">
        <v>56</v>
      </c>
      <c r="AV257" s="6">
        <v>62</v>
      </c>
      <c r="AW257" s="6">
        <v>22</v>
      </c>
      <c r="AX257" s="6">
        <v>35</v>
      </c>
      <c r="AY257" s="24">
        <f>IF(Form_Responses1[[#This Row],[ket_cuc]]="Không tử vong", 0, 1)</f>
        <v>0</v>
      </c>
      <c r="AZ257" s="1" t="s">
        <v>24</v>
      </c>
      <c r="BA257" s="32">
        <v>38</v>
      </c>
      <c r="BB257" s="32">
        <v>3.3342866948981698E-2</v>
      </c>
    </row>
    <row r="258" spans="1:54" ht="13" x14ac:dyDescent="0.15">
      <c r="A258" s="2" t="s">
        <v>178</v>
      </c>
      <c r="B258" s="15">
        <v>52</v>
      </c>
      <c r="C258" s="15">
        <f>IF(Form_Responses1[[#This Row],[gioi_tinh]]="Nữ", 0, 1)</f>
        <v>1</v>
      </c>
      <c r="D258" s="2" t="s">
        <v>26</v>
      </c>
      <c r="E258" s="15">
        <v>24.6</v>
      </c>
      <c r="F258" s="15">
        <f>IF(Form_Responses1[[#This Row],[dai_thao_duong]]="Không", 0, 1)</f>
        <v>0</v>
      </c>
      <c r="G258" s="2" t="s">
        <v>21</v>
      </c>
      <c r="H258" s="15">
        <f t="shared" ref="H258:H321" si="8">IF(I258="Có", 1, 0)</f>
        <v>0</v>
      </c>
      <c r="I258" s="2" t="s">
        <v>21</v>
      </c>
      <c r="J258" s="15">
        <f>IF(Form_Responses1[[#This Row],[hoi_chung_vanh_man]]="Không", 0, 1)</f>
        <v>0</v>
      </c>
      <c r="K258" s="2" t="s">
        <v>21</v>
      </c>
      <c r="L258" s="15">
        <f>IF(Form_Responses1[[#This Row],[ckd]]="Không", 0, 1)</f>
        <v>0</v>
      </c>
      <c r="M258" s="2" t="s">
        <v>21</v>
      </c>
      <c r="N258" s="15">
        <f t="shared" ref="N258:N321" si="9">IF(O258="Không", 0, 1)</f>
        <v>0</v>
      </c>
      <c r="O258" s="2" t="s">
        <v>21</v>
      </c>
      <c r="P258" s="15">
        <f>IF(Form_Responses1[[#This Row],[phan_loai_the_lam_sang]]="Suy tim mất bù cấp", 1,0)</f>
        <v>1</v>
      </c>
      <c r="Q258" s="15">
        <f>IF(Form_Responses1[[#This Row],[phan_loai_the_lam_sang]]="Phù phổi cấp", 1, 0)</f>
        <v>0</v>
      </c>
      <c r="R258" s="15">
        <f>IF(Form_Responses1[[#This Row],[phan_loai_the_lam_sang]]="Choáng tim", 1, 0)</f>
        <v>0</v>
      </c>
      <c r="S258" s="2" t="s">
        <v>23</v>
      </c>
      <c r="T258" s="15">
        <v>80</v>
      </c>
      <c r="U258" s="15">
        <v>110</v>
      </c>
      <c r="V258" s="15">
        <v>70</v>
      </c>
      <c r="W258" s="15">
        <f>IF(Form_Responses1[[#This Row],[hcvc]]="Không", 0, 1)</f>
        <v>0</v>
      </c>
      <c r="X258" s="2" t="s">
        <v>21</v>
      </c>
      <c r="Y258" s="15">
        <f>IF(Form_Responses1[[#This Row],[suy_ho_hap]]="Không", 0, 1)</f>
        <v>0</v>
      </c>
      <c r="Z258" s="2" t="s">
        <v>21</v>
      </c>
      <c r="AA258" s="15">
        <f>IF(Form_Responses1[[#This Row],[rung_nhi]]="Không", 0, 1)</f>
        <v>1</v>
      </c>
      <c r="AB258" s="2" t="s">
        <v>22</v>
      </c>
      <c r="AC258" s="15">
        <v>510</v>
      </c>
      <c r="AD258" s="15">
        <v>0.08</v>
      </c>
      <c r="AE258" s="15">
        <v>9.6999999999999993</v>
      </c>
      <c r="AF258" s="15">
        <v>148</v>
      </c>
      <c r="AG258" s="15">
        <v>160</v>
      </c>
      <c r="AH258" s="15">
        <v>129</v>
      </c>
      <c r="AI258" s="15">
        <v>3.8</v>
      </c>
      <c r="AJ258" s="15">
        <v>44</v>
      </c>
      <c r="AK258" s="15">
        <v>1.45</v>
      </c>
      <c r="AL258" s="2" t="s">
        <v>21</v>
      </c>
      <c r="AM258" s="2">
        <v>2991.1</v>
      </c>
      <c r="AN258" s="6">
        <f>IF(Form_Responses1[[#This Row],[NT_proBNP &gt; 35000]]="Có", 35001, Form_Responses1[[#This Row],[NT_ProBNP]])</f>
        <v>2991.1</v>
      </c>
      <c r="AO258" s="15">
        <f>IF(Form_Responses1[[#This Row],[NT_proBNP &gt; 35000]]="Có", 1, 0)</f>
        <v>0</v>
      </c>
      <c r="AP258" s="15">
        <v>235.23</v>
      </c>
      <c r="AQ258" s="15">
        <v>8661</v>
      </c>
      <c r="AR258" s="15">
        <v>6048</v>
      </c>
      <c r="AS258" s="15">
        <v>102</v>
      </c>
      <c r="AT258" s="15">
        <v>42</v>
      </c>
      <c r="AU258" s="15">
        <v>62</v>
      </c>
      <c r="AV258" s="15">
        <v>70</v>
      </c>
      <c r="AW258" s="15">
        <v>22</v>
      </c>
      <c r="AX258" s="15">
        <v>50</v>
      </c>
      <c r="AY258" s="22">
        <f>IF(Form_Responses1[[#This Row],[ket_cuc]]="Không tử vong", 0, 1)</f>
        <v>0</v>
      </c>
      <c r="AZ258" s="2" t="s">
        <v>24</v>
      </c>
      <c r="BA258" s="32">
        <v>44</v>
      </c>
      <c r="BB258" s="32">
        <v>7.0070949527793178E-2</v>
      </c>
    </row>
    <row r="259" spans="1:54" ht="13" x14ac:dyDescent="0.15">
      <c r="A259" s="1" t="s">
        <v>276</v>
      </c>
      <c r="B259" s="6">
        <v>60</v>
      </c>
      <c r="C259" s="6">
        <f>IF(Form_Responses1[[#This Row],[gioi_tinh]]="Nữ", 0, 1)</f>
        <v>0</v>
      </c>
      <c r="D259" s="1" t="s">
        <v>20</v>
      </c>
      <c r="E259" s="6">
        <v>20</v>
      </c>
      <c r="F259" s="6">
        <f>IF(Form_Responses1[[#This Row],[dai_thao_duong]]="Không", 0, 1)</f>
        <v>1</v>
      </c>
      <c r="G259" s="1" t="s">
        <v>22</v>
      </c>
      <c r="H259" s="6">
        <f t="shared" si="8"/>
        <v>1</v>
      </c>
      <c r="I259" s="1" t="s">
        <v>22</v>
      </c>
      <c r="J259" s="6">
        <f>IF(Form_Responses1[[#This Row],[hoi_chung_vanh_man]]="Không", 0, 1)</f>
        <v>1</v>
      </c>
      <c r="K259" s="1" t="s">
        <v>22</v>
      </c>
      <c r="L259" s="6">
        <f>IF(Form_Responses1[[#This Row],[ckd]]="Không", 0, 1)</f>
        <v>0</v>
      </c>
      <c r="M259" s="1" t="s">
        <v>21</v>
      </c>
      <c r="N259" s="6">
        <f t="shared" si="9"/>
        <v>0</v>
      </c>
      <c r="O259" s="1" t="s">
        <v>21</v>
      </c>
      <c r="P259" s="6">
        <f>IF(Form_Responses1[[#This Row],[phan_loai_the_lam_sang]]="Suy tim mất bù cấp", 1,0)</f>
        <v>0</v>
      </c>
      <c r="Q259" s="6">
        <f>IF(Form_Responses1[[#This Row],[phan_loai_the_lam_sang]]="Phù phổi cấp", 1, 0)</f>
        <v>1</v>
      </c>
      <c r="R259" s="6">
        <f>IF(Form_Responses1[[#This Row],[phan_loai_the_lam_sang]]="Choáng tim", 1, 0)</f>
        <v>0</v>
      </c>
      <c r="S259" s="1" t="s">
        <v>45</v>
      </c>
      <c r="T259" s="6">
        <v>96</v>
      </c>
      <c r="U259" s="6">
        <v>150</v>
      </c>
      <c r="V259" s="6">
        <v>80</v>
      </c>
      <c r="W259" s="6">
        <f>IF(Form_Responses1[[#This Row],[hcvc]]="Không", 0, 1)</f>
        <v>0</v>
      </c>
      <c r="X259" s="1" t="s">
        <v>21</v>
      </c>
      <c r="Y259" s="6">
        <f>IF(Form_Responses1[[#This Row],[suy_ho_hap]]="Không", 0, 1)</f>
        <v>1</v>
      </c>
      <c r="Z259" s="1" t="s">
        <v>22</v>
      </c>
      <c r="AA259" s="6">
        <f>IF(Form_Responses1[[#This Row],[rung_nhi]]="Không", 0, 1)</f>
        <v>0</v>
      </c>
      <c r="AB259" s="1" t="s">
        <v>21</v>
      </c>
      <c r="AC259" s="6">
        <v>461</v>
      </c>
      <c r="AD259" s="6">
        <v>0.08</v>
      </c>
      <c r="AE259" s="6">
        <v>17.190000000000001</v>
      </c>
      <c r="AF259" s="6">
        <v>103</v>
      </c>
      <c r="AG259" s="6">
        <v>289</v>
      </c>
      <c r="AH259" s="6">
        <v>135</v>
      </c>
      <c r="AI259" s="6">
        <v>4.3</v>
      </c>
      <c r="AJ259" s="6">
        <v>103</v>
      </c>
      <c r="AK259" s="6">
        <v>4.3499999999999996</v>
      </c>
      <c r="AL259" s="1" t="s">
        <v>22</v>
      </c>
      <c r="AM259" s="10"/>
      <c r="AN259" s="6">
        <f>IF(Form_Responses1[[#This Row],[NT_proBNP &gt; 35000]]="Có", 35001, Form_Responses1[[#This Row],[NT_ProBNP]])</f>
        <v>35001</v>
      </c>
      <c r="AO259" s="13">
        <f>IF(Form_Responses1[[#This Row],[NT_proBNP &gt; 35000]]="Có", 1, 0)</f>
        <v>1</v>
      </c>
      <c r="AP259" s="6">
        <v>343.8</v>
      </c>
      <c r="AQ259" s="6">
        <v>48</v>
      </c>
      <c r="AR259" s="6">
        <v>36</v>
      </c>
      <c r="AS259" s="6">
        <v>267</v>
      </c>
      <c r="AT259" s="13"/>
      <c r="AU259" s="6">
        <v>46.7</v>
      </c>
      <c r="AV259" s="6">
        <v>57.5</v>
      </c>
      <c r="AW259" s="6">
        <v>22</v>
      </c>
      <c r="AX259" s="13"/>
      <c r="AY259" s="23">
        <f>IF(Form_Responses1[[#This Row],[ket_cuc]]="Không tử vong", 0, 1)</f>
        <v>0</v>
      </c>
      <c r="AZ259" s="1" t="s">
        <v>24</v>
      </c>
      <c r="BA259" s="32">
        <v>52</v>
      </c>
      <c r="BB259" s="32">
        <v>0.2522213380683152</v>
      </c>
    </row>
    <row r="260" spans="1:54" ht="13" x14ac:dyDescent="0.15">
      <c r="A260" s="2" t="s">
        <v>126</v>
      </c>
      <c r="B260" s="15">
        <v>72</v>
      </c>
      <c r="C260" s="15">
        <f>IF(Form_Responses1[[#This Row],[gioi_tinh]]="Nữ", 0, 1)</f>
        <v>1</v>
      </c>
      <c r="D260" s="2" t="s">
        <v>26</v>
      </c>
      <c r="E260" s="15">
        <v>22.7</v>
      </c>
      <c r="F260" s="15">
        <f>IF(Form_Responses1[[#This Row],[dai_thao_duong]]="Không", 0, 1)</f>
        <v>0</v>
      </c>
      <c r="G260" s="2" t="s">
        <v>21</v>
      </c>
      <c r="H260" s="15">
        <f t="shared" si="8"/>
        <v>1</v>
      </c>
      <c r="I260" s="2" t="s">
        <v>22</v>
      </c>
      <c r="J260" s="15">
        <f>IF(Form_Responses1[[#This Row],[hoi_chung_vanh_man]]="Không", 0, 1)</f>
        <v>0</v>
      </c>
      <c r="K260" s="2" t="s">
        <v>21</v>
      </c>
      <c r="L260" s="15">
        <f>IF(Form_Responses1[[#This Row],[ckd]]="Không", 0, 1)</f>
        <v>0</v>
      </c>
      <c r="M260" s="2" t="s">
        <v>21</v>
      </c>
      <c r="N260" s="15">
        <f t="shared" si="9"/>
        <v>0</v>
      </c>
      <c r="O260" s="2" t="s">
        <v>21</v>
      </c>
      <c r="P260" s="15">
        <f>IF(Form_Responses1[[#This Row],[phan_loai_the_lam_sang]]="Suy tim mất bù cấp", 1,0)</f>
        <v>1</v>
      </c>
      <c r="Q260" s="15">
        <f>IF(Form_Responses1[[#This Row],[phan_loai_the_lam_sang]]="Phù phổi cấp", 1, 0)</f>
        <v>0</v>
      </c>
      <c r="R260" s="15">
        <f>IF(Form_Responses1[[#This Row],[phan_loai_the_lam_sang]]="Choáng tim", 1, 0)</f>
        <v>0</v>
      </c>
      <c r="S260" s="2" t="s">
        <v>23</v>
      </c>
      <c r="T260" s="15">
        <v>110</v>
      </c>
      <c r="U260" s="15">
        <v>120</v>
      </c>
      <c r="V260" s="15">
        <v>60</v>
      </c>
      <c r="W260" s="15">
        <f>IF(Form_Responses1[[#This Row],[hcvc]]="Không", 0, 1)</f>
        <v>1</v>
      </c>
      <c r="X260" s="2" t="s">
        <v>22</v>
      </c>
      <c r="Y260" s="15">
        <f>IF(Form_Responses1[[#This Row],[suy_ho_hap]]="Không", 0, 1)</f>
        <v>1</v>
      </c>
      <c r="Z260" s="2" t="s">
        <v>22</v>
      </c>
      <c r="AA260" s="15">
        <f>IF(Form_Responses1[[#This Row],[rung_nhi]]="Không", 0, 1)</f>
        <v>0</v>
      </c>
      <c r="AB260" s="2" t="s">
        <v>21</v>
      </c>
      <c r="AC260" s="15">
        <v>465</v>
      </c>
      <c r="AD260" s="15">
        <v>7.0000000000000007E-2</v>
      </c>
      <c r="AE260" s="15">
        <v>8.4700000000000006</v>
      </c>
      <c r="AF260" s="15">
        <v>125</v>
      </c>
      <c r="AG260" s="15">
        <v>212</v>
      </c>
      <c r="AH260" s="15">
        <v>138</v>
      </c>
      <c r="AI260" s="15">
        <v>4</v>
      </c>
      <c r="AJ260" s="15">
        <v>16</v>
      </c>
      <c r="AK260" s="15">
        <v>1.19</v>
      </c>
      <c r="AL260" s="2" t="s">
        <v>21</v>
      </c>
      <c r="AM260" s="2">
        <v>5037</v>
      </c>
      <c r="AN260" s="6">
        <f>IF(Form_Responses1[[#This Row],[NT_proBNP &gt; 35000]]="Có", 35001, Form_Responses1[[#This Row],[NT_ProBNP]])</f>
        <v>5037</v>
      </c>
      <c r="AO260" s="15">
        <f>IF(Form_Responses1[[#This Row],[NT_proBNP &gt; 35000]]="Có", 1, 0)</f>
        <v>0</v>
      </c>
      <c r="AP260" s="15">
        <v>4172.7</v>
      </c>
      <c r="AQ260" s="15">
        <v>54</v>
      </c>
      <c r="AR260" s="15">
        <v>29</v>
      </c>
      <c r="AS260" s="15">
        <v>105</v>
      </c>
      <c r="AT260" s="18"/>
      <c r="AU260" s="15">
        <v>57.8</v>
      </c>
      <c r="AV260" s="15">
        <v>67</v>
      </c>
      <c r="AW260" s="15">
        <v>22</v>
      </c>
      <c r="AX260" s="15">
        <v>63</v>
      </c>
      <c r="AY260" s="22">
        <f>IF(Form_Responses1[[#This Row],[ket_cuc]]="Không tử vong", 0, 1)</f>
        <v>0</v>
      </c>
      <c r="AZ260" s="2" t="s">
        <v>24</v>
      </c>
      <c r="BA260" s="32">
        <v>46</v>
      </c>
      <c r="BB260" s="32">
        <v>0.11730524302696697</v>
      </c>
    </row>
    <row r="261" spans="1:54" ht="13" x14ac:dyDescent="0.15">
      <c r="A261" s="1" t="s">
        <v>149</v>
      </c>
      <c r="B261" s="6">
        <v>22</v>
      </c>
      <c r="C261" s="6">
        <f>IF(Form_Responses1[[#This Row],[gioi_tinh]]="Nữ", 0, 1)</f>
        <v>1</v>
      </c>
      <c r="D261" s="1" t="s">
        <v>26</v>
      </c>
      <c r="E261" s="6">
        <v>22</v>
      </c>
      <c r="F261" s="6">
        <f>IF(Form_Responses1[[#This Row],[dai_thao_duong]]="Không", 0, 1)</f>
        <v>0</v>
      </c>
      <c r="G261" s="1" t="s">
        <v>21</v>
      </c>
      <c r="H261" s="6">
        <f t="shared" si="8"/>
        <v>0</v>
      </c>
      <c r="I261" s="1" t="s">
        <v>21</v>
      </c>
      <c r="J261" s="6">
        <f>IF(Form_Responses1[[#This Row],[hoi_chung_vanh_man]]="Không", 0, 1)</f>
        <v>0</v>
      </c>
      <c r="K261" s="1" t="s">
        <v>21</v>
      </c>
      <c r="L261" s="6">
        <f>IF(Form_Responses1[[#This Row],[ckd]]="Không", 0, 1)</f>
        <v>0</v>
      </c>
      <c r="M261" s="1" t="s">
        <v>21</v>
      </c>
      <c r="N261" s="6">
        <f t="shared" si="9"/>
        <v>0</v>
      </c>
      <c r="O261" s="1" t="s">
        <v>21</v>
      </c>
      <c r="P261" s="6">
        <f>IF(Form_Responses1[[#This Row],[phan_loai_the_lam_sang]]="Suy tim mất bù cấp", 1,0)</f>
        <v>0</v>
      </c>
      <c r="Q261" s="6">
        <f>IF(Form_Responses1[[#This Row],[phan_loai_the_lam_sang]]="Phù phổi cấp", 1, 0)</f>
        <v>1</v>
      </c>
      <c r="R261" s="6">
        <f>IF(Form_Responses1[[#This Row],[phan_loai_the_lam_sang]]="Choáng tim", 1, 0)</f>
        <v>0</v>
      </c>
      <c r="S261" s="1" t="s">
        <v>45</v>
      </c>
      <c r="T261" s="6">
        <v>128</v>
      </c>
      <c r="U261" s="6">
        <v>110</v>
      </c>
      <c r="V261" s="6">
        <v>80</v>
      </c>
      <c r="W261" s="6">
        <f>IF(Form_Responses1[[#This Row],[hcvc]]="Không", 0, 1)</f>
        <v>0</v>
      </c>
      <c r="X261" s="1" t="s">
        <v>21</v>
      </c>
      <c r="Y261" s="6">
        <f>IF(Form_Responses1[[#This Row],[suy_ho_hap]]="Không", 0, 1)</f>
        <v>0</v>
      </c>
      <c r="Z261" s="1" t="s">
        <v>21</v>
      </c>
      <c r="AA261" s="6">
        <f>IF(Form_Responses1[[#This Row],[rung_nhi]]="Không", 0, 1)</f>
        <v>0</v>
      </c>
      <c r="AB261" s="1" t="s">
        <v>21</v>
      </c>
      <c r="AC261" s="6">
        <v>462</v>
      </c>
      <c r="AD261" s="6">
        <v>0.1</v>
      </c>
      <c r="AE261" s="6">
        <v>18</v>
      </c>
      <c r="AF261" s="6">
        <v>161</v>
      </c>
      <c r="AG261" s="6">
        <v>209</v>
      </c>
      <c r="AH261" s="6">
        <v>130</v>
      </c>
      <c r="AI261" s="6">
        <v>5</v>
      </c>
      <c r="AJ261" s="6">
        <v>20</v>
      </c>
      <c r="AK261" s="6">
        <v>1.31</v>
      </c>
      <c r="AL261" s="1" t="s">
        <v>21</v>
      </c>
      <c r="AM261" s="1">
        <v>8301.1</v>
      </c>
      <c r="AN261" s="6">
        <f>IF(Form_Responses1[[#This Row],[NT_proBNP &gt; 35000]]="Có", 35001, Form_Responses1[[#This Row],[NT_ProBNP]])</f>
        <v>8301.1</v>
      </c>
      <c r="AO261" s="6">
        <f>IF(Form_Responses1[[#This Row],[NT_proBNP &gt; 35000]]="Có", 1, 0)</f>
        <v>0</v>
      </c>
      <c r="AP261" s="6">
        <v>4314.04</v>
      </c>
      <c r="AQ261" s="6">
        <v>798</v>
      </c>
      <c r="AR261" s="6">
        <v>762</v>
      </c>
      <c r="AS261" s="6">
        <v>86</v>
      </c>
      <c r="AT261" s="6">
        <v>46.8</v>
      </c>
      <c r="AU261" s="6">
        <v>58.3</v>
      </c>
      <c r="AV261" s="6">
        <v>64.900000000000006</v>
      </c>
      <c r="AW261" s="6">
        <v>22</v>
      </c>
      <c r="AX261" s="6">
        <v>52</v>
      </c>
      <c r="AY261" s="24">
        <f>IF(Form_Responses1[[#This Row],[ket_cuc]]="Không tử vong", 0, 1)</f>
        <v>0</v>
      </c>
      <c r="AZ261" s="1" t="s">
        <v>24</v>
      </c>
      <c r="BA261" s="32">
        <v>39</v>
      </c>
      <c r="BB261" s="32">
        <v>2.8703854364055467E-2</v>
      </c>
    </row>
    <row r="262" spans="1:54" ht="13" x14ac:dyDescent="0.15">
      <c r="A262" s="2" t="s">
        <v>283</v>
      </c>
      <c r="B262" s="15">
        <v>69</v>
      </c>
      <c r="C262" s="15">
        <f>IF(Form_Responses1[[#This Row],[gioi_tinh]]="Nữ", 0, 1)</f>
        <v>1</v>
      </c>
      <c r="D262" s="2" t="s">
        <v>26</v>
      </c>
      <c r="E262" s="15">
        <v>22.4</v>
      </c>
      <c r="F262" s="15">
        <f>IF(Form_Responses1[[#This Row],[dai_thao_duong]]="Không", 0, 1)</f>
        <v>1</v>
      </c>
      <c r="G262" s="2" t="s">
        <v>22</v>
      </c>
      <c r="H262" s="15">
        <f t="shared" si="8"/>
        <v>1</v>
      </c>
      <c r="I262" s="2" t="s">
        <v>22</v>
      </c>
      <c r="J262" s="15">
        <f>IF(Form_Responses1[[#This Row],[hoi_chung_vanh_man]]="Không", 0, 1)</f>
        <v>0</v>
      </c>
      <c r="K262" s="2" t="s">
        <v>21</v>
      </c>
      <c r="L262" s="15">
        <f>IF(Form_Responses1[[#This Row],[ckd]]="Không", 0, 1)</f>
        <v>0</v>
      </c>
      <c r="M262" s="2" t="s">
        <v>21</v>
      </c>
      <c r="N262" s="15">
        <f t="shared" si="9"/>
        <v>0</v>
      </c>
      <c r="O262" s="2" t="s">
        <v>21</v>
      </c>
      <c r="P262" s="15">
        <f>IF(Form_Responses1[[#This Row],[phan_loai_the_lam_sang]]="Suy tim mất bù cấp", 1,0)</f>
        <v>1</v>
      </c>
      <c r="Q262" s="15">
        <f>IF(Form_Responses1[[#This Row],[phan_loai_the_lam_sang]]="Phù phổi cấp", 1, 0)</f>
        <v>0</v>
      </c>
      <c r="R262" s="15">
        <f>IF(Form_Responses1[[#This Row],[phan_loai_the_lam_sang]]="Choáng tim", 1, 0)</f>
        <v>0</v>
      </c>
      <c r="S262" s="2" t="s">
        <v>23</v>
      </c>
      <c r="T262" s="15">
        <v>140</v>
      </c>
      <c r="U262" s="15">
        <v>140</v>
      </c>
      <c r="V262" s="15">
        <v>100</v>
      </c>
      <c r="W262" s="15">
        <f>IF(Form_Responses1[[#This Row],[hcvc]]="Không", 0, 1)</f>
        <v>1</v>
      </c>
      <c r="X262" s="2" t="s">
        <v>22</v>
      </c>
      <c r="Y262" s="15">
        <f>IF(Form_Responses1[[#This Row],[suy_ho_hap]]="Không", 0, 1)</f>
        <v>0</v>
      </c>
      <c r="Z262" s="2" t="s">
        <v>21</v>
      </c>
      <c r="AA262" s="15">
        <f>IF(Form_Responses1[[#This Row],[rung_nhi]]="Không", 0, 1)</f>
        <v>1</v>
      </c>
      <c r="AB262" s="2" t="s">
        <v>22</v>
      </c>
      <c r="AC262" s="15">
        <v>364</v>
      </c>
      <c r="AD262" s="15">
        <v>0.08</v>
      </c>
      <c r="AE262" s="15">
        <v>16.100000000000001</v>
      </c>
      <c r="AF262" s="15">
        <v>134</v>
      </c>
      <c r="AG262" s="15">
        <v>287</v>
      </c>
      <c r="AH262" s="15">
        <v>133</v>
      </c>
      <c r="AI262" s="15">
        <v>3.9</v>
      </c>
      <c r="AJ262" s="15">
        <v>18</v>
      </c>
      <c r="AK262" s="15">
        <v>0.51</v>
      </c>
      <c r="AL262" s="2" t="s">
        <v>21</v>
      </c>
      <c r="AM262" s="2">
        <v>4792</v>
      </c>
      <c r="AN262" s="6">
        <f>IF(Form_Responses1[[#This Row],[NT_proBNP &gt; 35000]]="Có", 35001, Form_Responses1[[#This Row],[NT_ProBNP]])</f>
        <v>4792</v>
      </c>
      <c r="AO262" s="15">
        <f>IF(Form_Responses1[[#This Row],[NT_proBNP &gt; 35000]]="Có", 1, 0)</f>
        <v>0</v>
      </c>
      <c r="AP262" s="15">
        <v>12674</v>
      </c>
      <c r="AQ262" s="15">
        <v>133</v>
      </c>
      <c r="AR262" s="15">
        <v>14</v>
      </c>
      <c r="AS262" s="15">
        <v>161</v>
      </c>
      <c r="AT262" s="27">
        <v>39.1</v>
      </c>
      <c r="AU262" s="15">
        <v>35.1</v>
      </c>
      <c r="AV262" s="15">
        <v>48.8</v>
      </c>
      <c r="AW262" s="15">
        <v>22</v>
      </c>
      <c r="AX262" s="27">
        <v>55</v>
      </c>
      <c r="AY262" s="29">
        <f>IF(Form_Responses1[[#This Row],[ket_cuc]]="Không tử vong", 0, 1)</f>
        <v>0</v>
      </c>
      <c r="AZ262" s="2" t="s">
        <v>24</v>
      </c>
      <c r="BA262" s="32">
        <v>41</v>
      </c>
      <c r="BB262" s="32">
        <v>8.0379641657248188E-2</v>
      </c>
    </row>
    <row r="263" spans="1:54" ht="13" x14ac:dyDescent="0.15">
      <c r="A263" s="1" t="s">
        <v>333</v>
      </c>
      <c r="B263" s="6">
        <v>61</v>
      </c>
      <c r="C263" s="6">
        <f>IF(Form_Responses1[[#This Row],[gioi_tinh]]="Nữ", 0, 1)</f>
        <v>0</v>
      </c>
      <c r="D263" s="1" t="s">
        <v>20</v>
      </c>
      <c r="E263" s="6">
        <v>22.9</v>
      </c>
      <c r="F263" s="6">
        <f>IF(Form_Responses1[[#This Row],[dai_thao_duong]]="Không", 0, 1)</f>
        <v>0</v>
      </c>
      <c r="G263" s="1" t="s">
        <v>21</v>
      </c>
      <c r="H263" s="6">
        <f t="shared" si="8"/>
        <v>1</v>
      </c>
      <c r="I263" s="1" t="s">
        <v>22</v>
      </c>
      <c r="J263" s="6">
        <f>IF(Form_Responses1[[#This Row],[hoi_chung_vanh_man]]="Không", 0, 1)</f>
        <v>0</v>
      </c>
      <c r="K263" s="1" t="s">
        <v>21</v>
      </c>
      <c r="L263" s="6">
        <f>IF(Form_Responses1[[#This Row],[ckd]]="Không", 0, 1)</f>
        <v>0</v>
      </c>
      <c r="M263" s="1" t="s">
        <v>21</v>
      </c>
      <c r="N263" s="6">
        <f t="shared" si="9"/>
        <v>0</v>
      </c>
      <c r="O263" s="1" t="s">
        <v>21</v>
      </c>
      <c r="P263" s="6">
        <f>IF(Form_Responses1[[#This Row],[phan_loai_the_lam_sang]]="Suy tim mất bù cấp", 1,0)</f>
        <v>1</v>
      </c>
      <c r="Q263" s="6">
        <f>IF(Form_Responses1[[#This Row],[phan_loai_the_lam_sang]]="Phù phổi cấp", 1, 0)</f>
        <v>0</v>
      </c>
      <c r="R263" s="6">
        <f>IF(Form_Responses1[[#This Row],[phan_loai_the_lam_sang]]="Choáng tim", 1, 0)</f>
        <v>0</v>
      </c>
      <c r="S263" s="1" t="s">
        <v>23</v>
      </c>
      <c r="T263" s="6">
        <v>100</v>
      </c>
      <c r="U263" s="6">
        <v>140</v>
      </c>
      <c r="V263" s="6">
        <v>80</v>
      </c>
      <c r="W263" s="6">
        <f>IF(Form_Responses1[[#This Row],[hcvc]]="Không", 0, 1)</f>
        <v>1</v>
      </c>
      <c r="X263" s="1" t="s">
        <v>22</v>
      </c>
      <c r="Y263" s="6">
        <f>IF(Form_Responses1[[#This Row],[suy_ho_hap]]="Không", 0, 1)</f>
        <v>0</v>
      </c>
      <c r="Z263" s="1" t="s">
        <v>21</v>
      </c>
      <c r="AA263" s="6">
        <f>IF(Form_Responses1[[#This Row],[rung_nhi]]="Không", 0, 1)</f>
        <v>1</v>
      </c>
      <c r="AB263" s="1" t="s">
        <v>22</v>
      </c>
      <c r="AC263" s="6">
        <v>432</v>
      </c>
      <c r="AD263" s="6">
        <v>7.0000000000000007E-2</v>
      </c>
      <c r="AE263" s="6">
        <v>19.079999999999998</v>
      </c>
      <c r="AF263" s="6">
        <v>139</v>
      </c>
      <c r="AG263" s="6">
        <v>269</v>
      </c>
      <c r="AH263" s="6">
        <v>135</v>
      </c>
      <c r="AI263" s="6">
        <v>3.9</v>
      </c>
      <c r="AJ263" s="6">
        <v>17</v>
      </c>
      <c r="AK263" s="6">
        <v>0.83</v>
      </c>
      <c r="AL263" s="1" t="s">
        <v>21</v>
      </c>
      <c r="AM263" s="1">
        <v>5011.6000000000004</v>
      </c>
      <c r="AN263" s="6">
        <f>IF(Form_Responses1[[#This Row],[NT_proBNP &gt; 35000]]="Có", 35001, Form_Responses1[[#This Row],[NT_ProBNP]])</f>
        <v>5011.6000000000004</v>
      </c>
      <c r="AO263" s="27">
        <f>IF(Form_Responses1[[#This Row],[NT_proBNP &gt; 35000]]="Có", 1, 0)</f>
        <v>0</v>
      </c>
      <c r="AP263" s="27">
        <v>17124.400000000001</v>
      </c>
      <c r="AQ263" s="6">
        <v>181</v>
      </c>
      <c r="AR263" s="6">
        <v>52</v>
      </c>
      <c r="AS263" s="27">
        <v>113</v>
      </c>
      <c r="AT263" s="6">
        <v>37</v>
      </c>
      <c r="AU263" s="6">
        <v>42</v>
      </c>
      <c r="AV263" s="6">
        <v>52</v>
      </c>
      <c r="AW263" s="6">
        <v>22</v>
      </c>
      <c r="AX263" s="27">
        <v>39</v>
      </c>
      <c r="AY263" s="29">
        <f>IF(Form_Responses1[[#This Row],[ket_cuc]]="Không tử vong", 0, 1)</f>
        <v>0</v>
      </c>
      <c r="AZ263" s="1" t="s">
        <v>24</v>
      </c>
      <c r="BA263" s="32">
        <v>38</v>
      </c>
      <c r="BB263" s="32">
        <v>5.5787574629809572E-2</v>
      </c>
    </row>
    <row r="264" spans="1:54" ht="13" x14ac:dyDescent="0.15">
      <c r="A264" s="2" t="s">
        <v>160</v>
      </c>
      <c r="B264" s="15">
        <v>28</v>
      </c>
      <c r="C264" s="15">
        <f>IF(Form_Responses1[[#This Row],[gioi_tinh]]="Nữ", 0, 1)</f>
        <v>0</v>
      </c>
      <c r="D264" s="2" t="s">
        <v>20</v>
      </c>
      <c r="E264" s="15">
        <v>22.2</v>
      </c>
      <c r="F264" s="15">
        <f>IF(Form_Responses1[[#This Row],[dai_thao_duong]]="Không", 0, 1)</f>
        <v>0</v>
      </c>
      <c r="G264" s="2" t="s">
        <v>21</v>
      </c>
      <c r="H264" s="15">
        <f t="shared" si="8"/>
        <v>0</v>
      </c>
      <c r="I264" s="2" t="s">
        <v>21</v>
      </c>
      <c r="J264" s="15">
        <f>IF(Form_Responses1[[#This Row],[hoi_chung_vanh_man]]="Không", 0, 1)</f>
        <v>0</v>
      </c>
      <c r="K264" s="2" t="s">
        <v>21</v>
      </c>
      <c r="L264" s="15">
        <f>IF(Form_Responses1[[#This Row],[ckd]]="Không", 0, 1)</f>
        <v>0</v>
      </c>
      <c r="M264" s="2" t="s">
        <v>21</v>
      </c>
      <c r="N264" s="15">
        <f t="shared" si="9"/>
        <v>0</v>
      </c>
      <c r="O264" s="2" t="s">
        <v>21</v>
      </c>
      <c r="P264" s="15">
        <f>IF(Form_Responses1[[#This Row],[phan_loai_the_lam_sang]]="Suy tim mất bù cấp", 1,0)</f>
        <v>0</v>
      </c>
      <c r="Q264" s="15">
        <f>IF(Form_Responses1[[#This Row],[phan_loai_the_lam_sang]]="Phù phổi cấp", 1, 0)</f>
        <v>0</v>
      </c>
      <c r="R264" s="15">
        <f>IF(Form_Responses1[[#This Row],[phan_loai_the_lam_sang]]="Choáng tim", 1, 0)</f>
        <v>1</v>
      </c>
      <c r="S264" s="2" t="s">
        <v>28</v>
      </c>
      <c r="T264" s="15">
        <v>77</v>
      </c>
      <c r="U264" s="15">
        <v>140</v>
      </c>
      <c r="V264" s="15">
        <v>90</v>
      </c>
      <c r="W264" s="15">
        <f>IF(Form_Responses1[[#This Row],[hcvc]]="Không", 0, 1)</f>
        <v>0</v>
      </c>
      <c r="X264" s="2" t="s">
        <v>21</v>
      </c>
      <c r="Y264" s="15">
        <f>IF(Form_Responses1[[#This Row],[suy_ho_hap]]="Không", 0, 1)</f>
        <v>1</v>
      </c>
      <c r="Z264" s="2" t="s">
        <v>22</v>
      </c>
      <c r="AA264" s="15">
        <f>IF(Form_Responses1[[#This Row],[rung_nhi]]="Không", 0, 1)</f>
        <v>0</v>
      </c>
      <c r="AB264" s="2" t="s">
        <v>21</v>
      </c>
      <c r="AC264" s="15">
        <v>496</v>
      </c>
      <c r="AD264" s="15">
        <v>0.08</v>
      </c>
      <c r="AE264" s="15">
        <v>10.4</v>
      </c>
      <c r="AF264" s="15">
        <v>111</v>
      </c>
      <c r="AG264" s="15">
        <v>134</v>
      </c>
      <c r="AH264" s="15">
        <v>134</v>
      </c>
      <c r="AI264" s="15">
        <v>3.1</v>
      </c>
      <c r="AJ264" s="15">
        <v>9</v>
      </c>
      <c r="AK264" s="15">
        <v>0.8</v>
      </c>
      <c r="AL264" s="2" t="s">
        <v>21</v>
      </c>
      <c r="AM264" s="2">
        <v>28475.9</v>
      </c>
      <c r="AN264" s="6">
        <f>IF(Form_Responses1[[#This Row],[NT_proBNP &gt; 35000]]="Có", 35001, Form_Responses1[[#This Row],[NT_ProBNP]])</f>
        <v>28475.9</v>
      </c>
      <c r="AO264" s="15">
        <f>IF(Form_Responses1[[#This Row],[NT_proBNP &gt; 35000]]="Có", 1, 0)</f>
        <v>0</v>
      </c>
      <c r="AP264" s="15">
        <v>842.1</v>
      </c>
      <c r="AQ264" s="15">
        <v>185</v>
      </c>
      <c r="AR264" s="15">
        <v>92</v>
      </c>
      <c r="AS264" s="15">
        <v>128</v>
      </c>
      <c r="AT264" s="18">
        <v>30</v>
      </c>
      <c r="AU264" s="15">
        <v>42.5</v>
      </c>
      <c r="AV264" s="15">
        <v>47.4</v>
      </c>
      <c r="AW264" s="15">
        <v>22</v>
      </c>
      <c r="AX264" s="18"/>
      <c r="AY264" s="26">
        <f>IF(Form_Responses1[[#This Row],[ket_cuc]]="Không tử vong", 0, 1)</f>
        <v>0</v>
      </c>
      <c r="AZ264" s="2" t="s">
        <v>24</v>
      </c>
      <c r="BA264" s="32">
        <v>19</v>
      </c>
      <c r="BB264" s="32">
        <v>1.1634244107435724E-2</v>
      </c>
    </row>
    <row r="265" spans="1:54" ht="13" x14ac:dyDescent="0.15">
      <c r="A265" s="1" t="s">
        <v>60</v>
      </c>
      <c r="B265" s="6">
        <v>50</v>
      </c>
      <c r="C265" s="6">
        <f>IF(Form_Responses1[[#This Row],[gioi_tinh]]="Nữ", 0, 1)</f>
        <v>0</v>
      </c>
      <c r="D265" s="1" t="s">
        <v>20</v>
      </c>
      <c r="E265" s="6">
        <v>32.5</v>
      </c>
      <c r="F265" s="6">
        <f>IF(Form_Responses1[[#This Row],[dai_thao_duong]]="Không", 0, 1)</f>
        <v>1</v>
      </c>
      <c r="G265" s="1" t="s">
        <v>22</v>
      </c>
      <c r="H265" s="6">
        <f t="shared" si="8"/>
        <v>1</v>
      </c>
      <c r="I265" s="1" t="s">
        <v>22</v>
      </c>
      <c r="J265" s="6">
        <f>IF(Form_Responses1[[#This Row],[hoi_chung_vanh_man]]="Không", 0, 1)</f>
        <v>0</v>
      </c>
      <c r="K265" s="1" t="s">
        <v>21</v>
      </c>
      <c r="L265" s="6">
        <f>IF(Form_Responses1[[#This Row],[ckd]]="Không", 0, 1)</f>
        <v>0</v>
      </c>
      <c r="M265" s="1" t="s">
        <v>21</v>
      </c>
      <c r="N265" s="6">
        <f t="shared" si="9"/>
        <v>0</v>
      </c>
      <c r="O265" s="1" t="s">
        <v>21</v>
      </c>
      <c r="P265" s="6">
        <f>IF(Form_Responses1[[#This Row],[phan_loai_the_lam_sang]]="Suy tim mất bù cấp", 1,0)</f>
        <v>0</v>
      </c>
      <c r="Q265" s="6">
        <f>IF(Form_Responses1[[#This Row],[phan_loai_the_lam_sang]]="Phù phổi cấp", 1, 0)</f>
        <v>0</v>
      </c>
      <c r="R265" s="6">
        <f>IF(Form_Responses1[[#This Row],[phan_loai_the_lam_sang]]="Choáng tim", 1, 0)</f>
        <v>1</v>
      </c>
      <c r="S265" s="1" t="s">
        <v>28</v>
      </c>
      <c r="T265" s="6">
        <v>66</v>
      </c>
      <c r="U265" s="6">
        <v>100</v>
      </c>
      <c r="V265" s="6">
        <v>75</v>
      </c>
      <c r="W265" s="6">
        <f>IF(Form_Responses1[[#This Row],[hcvc]]="Không", 0, 1)</f>
        <v>0</v>
      </c>
      <c r="X265" s="1" t="s">
        <v>21</v>
      </c>
      <c r="Y265" s="6">
        <f>IF(Form_Responses1[[#This Row],[suy_ho_hap]]="Không", 0, 1)</f>
        <v>1</v>
      </c>
      <c r="Z265" s="1" t="s">
        <v>22</v>
      </c>
      <c r="AA265" s="6">
        <f>IF(Form_Responses1[[#This Row],[rung_nhi]]="Không", 0, 1)</f>
        <v>0</v>
      </c>
      <c r="AB265" s="1" t="s">
        <v>21</v>
      </c>
      <c r="AC265" s="6">
        <v>471</v>
      </c>
      <c r="AD265" s="6">
        <v>0.12</v>
      </c>
      <c r="AE265" s="6">
        <v>13.37</v>
      </c>
      <c r="AF265" s="6">
        <v>132</v>
      </c>
      <c r="AG265" s="6">
        <v>296</v>
      </c>
      <c r="AH265" s="6">
        <v>129</v>
      </c>
      <c r="AI265" s="6">
        <v>4.2</v>
      </c>
      <c r="AJ265" s="6">
        <v>28</v>
      </c>
      <c r="AK265" s="6">
        <v>1.1499999999999999</v>
      </c>
      <c r="AL265" s="1" t="s">
        <v>22</v>
      </c>
      <c r="AM265" s="10"/>
      <c r="AN265" s="6">
        <f>IF(Form_Responses1[[#This Row],[NT_proBNP &gt; 35000]]="Có", 35001, Form_Responses1[[#This Row],[NT_ProBNP]])</f>
        <v>35001</v>
      </c>
      <c r="AO265" s="13">
        <f>IF(Form_Responses1[[#This Row],[NT_proBNP &gt; 35000]]="Có", 1, 0)</f>
        <v>1</v>
      </c>
      <c r="AP265" s="6">
        <v>171052.1</v>
      </c>
      <c r="AQ265" s="6">
        <v>500</v>
      </c>
      <c r="AR265" s="6">
        <v>290</v>
      </c>
      <c r="AS265" s="6">
        <v>505</v>
      </c>
      <c r="AU265" s="6">
        <v>36.700000000000003</v>
      </c>
      <c r="AV265" s="6">
        <v>40.9</v>
      </c>
      <c r="AW265" s="6">
        <v>22</v>
      </c>
      <c r="AX265" s="13"/>
      <c r="AY265" s="23">
        <f>IF(Form_Responses1[[#This Row],[ket_cuc]]="Không tử vong", 0, 1)</f>
        <v>0</v>
      </c>
      <c r="AZ265" s="1" t="s">
        <v>24</v>
      </c>
      <c r="BA265" s="32">
        <v>41</v>
      </c>
      <c r="BB265" s="32">
        <v>3.6905178204677154E-2</v>
      </c>
    </row>
    <row r="266" spans="1:54" ht="13" x14ac:dyDescent="0.15">
      <c r="A266" s="2" t="s">
        <v>195</v>
      </c>
      <c r="B266" s="15">
        <v>69</v>
      </c>
      <c r="C266" s="15">
        <f>IF(Form_Responses1[[#This Row],[gioi_tinh]]="Nữ", 0, 1)</f>
        <v>1</v>
      </c>
      <c r="D266" s="2" t="s">
        <v>26</v>
      </c>
      <c r="E266" s="15">
        <v>18.399999999999999</v>
      </c>
      <c r="F266" s="15">
        <f>IF(Form_Responses1[[#This Row],[dai_thao_duong]]="Không", 0, 1)</f>
        <v>0</v>
      </c>
      <c r="G266" s="2" t="s">
        <v>21</v>
      </c>
      <c r="H266" s="15">
        <f t="shared" si="8"/>
        <v>0</v>
      </c>
      <c r="I266" s="2" t="s">
        <v>21</v>
      </c>
      <c r="J266" s="15">
        <f>IF(Form_Responses1[[#This Row],[hoi_chung_vanh_man]]="Không", 0, 1)</f>
        <v>1</v>
      </c>
      <c r="K266" s="2" t="s">
        <v>22</v>
      </c>
      <c r="L266" s="15">
        <f>IF(Form_Responses1[[#This Row],[ckd]]="Không", 0, 1)</f>
        <v>0</v>
      </c>
      <c r="M266" s="2" t="s">
        <v>21</v>
      </c>
      <c r="N266" s="15">
        <f t="shared" si="9"/>
        <v>0</v>
      </c>
      <c r="O266" s="2" t="s">
        <v>21</v>
      </c>
      <c r="P266" s="15">
        <f>IF(Form_Responses1[[#This Row],[phan_loai_the_lam_sang]]="Suy tim mất bù cấp", 1,0)</f>
        <v>1</v>
      </c>
      <c r="Q266" s="15">
        <f>IF(Form_Responses1[[#This Row],[phan_loai_the_lam_sang]]="Phù phổi cấp", 1, 0)</f>
        <v>0</v>
      </c>
      <c r="R266" s="15">
        <f>IF(Form_Responses1[[#This Row],[phan_loai_the_lam_sang]]="Choáng tim", 1, 0)</f>
        <v>0</v>
      </c>
      <c r="S266" s="2" t="s">
        <v>23</v>
      </c>
      <c r="T266" s="15">
        <v>126</v>
      </c>
      <c r="U266" s="15">
        <v>100</v>
      </c>
      <c r="V266" s="15">
        <v>70</v>
      </c>
      <c r="W266" s="15">
        <f>IF(Form_Responses1[[#This Row],[hcvc]]="Không", 0, 1)</f>
        <v>0</v>
      </c>
      <c r="X266" s="2" t="s">
        <v>21</v>
      </c>
      <c r="Y266" s="15">
        <f>IF(Form_Responses1[[#This Row],[suy_ho_hap]]="Không", 0, 1)</f>
        <v>0</v>
      </c>
      <c r="Z266" s="2" t="s">
        <v>21</v>
      </c>
      <c r="AA266" s="15">
        <f>IF(Form_Responses1[[#This Row],[rung_nhi]]="Không", 0, 1)</f>
        <v>1</v>
      </c>
      <c r="AB266" s="2" t="s">
        <v>22</v>
      </c>
      <c r="AC266" s="15">
        <v>380</v>
      </c>
      <c r="AD266" s="15">
        <v>0.1</v>
      </c>
      <c r="AE266" s="15">
        <v>7.3</v>
      </c>
      <c r="AF266" s="15">
        <v>135</v>
      </c>
      <c r="AG266" s="15">
        <v>112</v>
      </c>
      <c r="AH266" s="15">
        <v>138</v>
      </c>
      <c r="AI266" s="15">
        <v>4.0999999999999996</v>
      </c>
      <c r="AJ266" s="15">
        <v>27</v>
      </c>
      <c r="AK266" s="15">
        <v>1.53</v>
      </c>
      <c r="AL266" s="2" t="s">
        <v>21</v>
      </c>
      <c r="AM266" s="2">
        <v>16656</v>
      </c>
      <c r="AN266" s="6">
        <f>IF(Form_Responses1[[#This Row],[NT_proBNP &gt; 35000]]="Có", 35001, Form_Responses1[[#This Row],[NT_ProBNP]])</f>
        <v>16656</v>
      </c>
      <c r="AO266" s="15">
        <f>IF(Form_Responses1[[#This Row],[NT_proBNP &gt; 35000]]="Có", 1, 0)</f>
        <v>0</v>
      </c>
      <c r="AP266" s="15">
        <v>10.029999999999999</v>
      </c>
      <c r="AQ266" s="15">
        <v>37</v>
      </c>
      <c r="AR266" s="15">
        <v>35</v>
      </c>
      <c r="AS266" s="15">
        <v>87</v>
      </c>
      <c r="AT266" s="18"/>
      <c r="AU266" s="15">
        <v>46.3</v>
      </c>
      <c r="AV266" s="15">
        <v>54.3</v>
      </c>
      <c r="AW266" s="15">
        <v>21</v>
      </c>
      <c r="AX266" s="15">
        <v>58</v>
      </c>
      <c r="AY266" s="22">
        <f>IF(Form_Responses1[[#This Row],[ket_cuc]]="Không tử vong", 0, 1)</f>
        <v>0</v>
      </c>
      <c r="AZ266" s="2" t="s">
        <v>24</v>
      </c>
      <c r="BA266" s="32">
        <v>49</v>
      </c>
      <c r="BB266" s="32">
        <v>0.13542735051943841</v>
      </c>
    </row>
    <row r="267" spans="1:54" ht="13" x14ac:dyDescent="0.15">
      <c r="A267" s="1" t="s">
        <v>106</v>
      </c>
      <c r="B267" s="6">
        <v>49</v>
      </c>
      <c r="C267" s="6">
        <f>IF(Form_Responses1[[#This Row],[gioi_tinh]]="Nữ", 0, 1)</f>
        <v>1</v>
      </c>
      <c r="D267" s="1" t="s">
        <v>26</v>
      </c>
      <c r="E267" s="6">
        <v>20.2</v>
      </c>
      <c r="F267" s="6">
        <f>IF(Form_Responses1[[#This Row],[dai_thao_duong]]="Không", 0, 1)</f>
        <v>0</v>
      </c>
      <c r="G267" s="1" t="s">
        <v>21</v>
      </c>
      <c r="H267" s="6">
        <f t="shared" si="8"/>
        <v>0</v>
      </c>
      <c r="I267" s="1" t="s">
        <v>21</v>
      </c>
      <c r="J267" s="6">
        <f>IF(Form_Responses1[[#This Row],[hoi_chung_vanh_man]]="Không", 0, 1)</f>
        <v>0</v>
      </c>
      <c r="K267" s="1" t="s">
        <v>21</v>
      </c>
      <c r="L267" s="6">
        <f>IF(Form_Responses1[[#This Row],[ckd]]="Không", 0, 1)</f>
        <v>0</v>
      </c>
      <c r="M267" s="1" t="s">
        <v>21</v>
      </c>
      <c r="N267" s="6">
        <f t="shared" si="9"/>
        <v>0</v>
      </c>
      <c r="O267" s="1" t="s">
        <v>21</v>
      </c>
      <c r="P267" s="6">
        <f>IF(Form_Responses1[[#This Row],[phan_loai_the_lam_sang]]="Suy tim mất bù cấp", 1,0)</f>
        <v>1</v>
      </c>
      <c r="Q267" s="6">
        <f>IF(Form_Responses1[[#This Row],[phan_loai_the_lam_sang]]="Phù phổi cấp", 1, 0)</f>
        <v>0</v>
      </c>
      <c r="R267" s="6">
        <f>IF(Form_Responses1[[#This Row],[phan_loai_the_lam_sang]]="Choáng tim", 1, 0)</f>
        <v>0</v>
      </c>
      <c r="S267" s="1" t="s">
        <v>23</v>
      </c>
      <c r="T267" s="6">
        <v>101</v>
      </c>
      <c r="U267" s="6">
        <v>140</v>
      </c>
      <c r="V267" s="6">
        <v>80</v>
      </c>
      <c r="W267" s="6">
        <f>IF(Form_Responses1[[#This Row],[hcvc]]="Không", 0, 1)</f>
        <v>0</v>
      </c>
      <c r="X267" s="1" t="s">
        <v>21</v>
      </c>
      <c r="Y267" s="6">
        <f>IF(Form_Responses1[[#This Row],[suy_ho_hap]]="Không", 0, 1)</f>
        <v>0</v>
      </c>
      <c r="Z267" s="1" t="s">
        <v>21</v>
      </c>
      <c r="AA267" s="6">
        <f>IF(Form_Responses1[[#This Row],[rung_nhi]]="Không", 0, 1)</f>
        <v>0</v>
      </c>
      <c r="AB267" s="1" t="s">
        <v>21</v>
      </c>
      <c r="AC267" s="6">
        <v>427</v>
      </c>
      <c r="AD267" s="6">
        <v>7.0000000000000007E-2</v>
      </c>
      <c r="AE267" s="6">
        <v>10.07</v>
      </c>
      <c r="AF267" s="6">
        <v>155</v>
      </c>
      <c r="AG267" s="6">
        <v>149</v>
      </c>
      <c r="AH267" s="6">
        <v>133</v>
      </c>
      <c r="AI267" s="6">
        <v>3.4</v>
      </c>
      <c r="AJ267" s="6">
        <v>28</v>
      </c>
      <c r="AK267" s="6">
        <v>1.1100000000000001</v>
      </c>
      <c r="AL267" s="1" t="s">
        <v>21</v>
      </c>
      <c r="AM267" s="1">
        <v>5051.3</v>
      </c>
      <c r="AN267" s="6">
        <f>IF(Form_Responses1[[#This Row],[NT_proBNP &gt; 35000]]="Có", 35001, Form_Responses1[[#This Row],[NT_ProBNP]])</f>
        <v>5051.3</v>
      </c>
      <c r="AO267" s="6">
        <f>IF(Form_Responses1[[#This Row],[NT_proBNP &gt; 35000]]="Có", 1, 0)</f>
        <v>0</v>
      </c>
      <c r="AP267" s="6">
        <v>27</v>
      </c>
      <c r="AQ267" s="6">
        <v>80</v>
      </c>
      <c r="AR267" s="6">
        <v>233</v>
      </c>
      <c r="AS267" s="19"/>
      <c r="AT267" s="6">
        <v>30</v>
      </c>
      <c r="AU267" s="6">
        <v>52</v>
      </c>
      <c r="AV267" s="6">
        <v>57</v>
      </c>
      <c r="AW267" s="6">
        <v>21</v>
      </c>
      <c r="AX267" s="27">
        <v>61</v>
      </c>
      <c r="AY267" s="29">
        <f>IF(Form_Responses1[[#This Row],[ket_cuc]]="Không tử vong", 0, 1)</f>
        <v>0</v>
      </c>
      <c r="AZ267" s="1" t="s">
        <v>24</v>
      </c>
      <c r="BA267" s="32">
        <v>35</v>
      </c>
      <c r="BB267" s="32">
        <v>5.0781832572923041E-2</v>
      </c>
    </row>
    <row r="268" spans="1:54" ht="13" x14ac:dyDescent="0.15">
      <c r="A268" s="2" t="s">
        <v>288</v>
      </c>
      <c r="B268" s="15">
        <v>61</v>
      </c>
      <c r="C268" s="15">
        <f>IF(Form_Responses1[[#This Row],[gioi_tinh]]="Nữ", 0, 1)</f>
        <v>0</v>
      </c>
      <c r="D268" s="2" t="s">
        <v>20</v>
      </c>
      <c r="E268" s="15">
        <v>22.2</v>
      </c>
      <c r="F268" s="15">
        <f>IF(Form_Responses1[[#This Row],[dai_thao_duong]]="Không", 0, 1)</f>
        <v>1</v>
      </c>
      <c r="G268" s="2" t="s">
        <v>22</v>
      </c>
      <c r="H268" s="15">
        <f t="shared" si="8"/>
        <v>1</v>
      </c>
      <c r="I268" s="2" t="s">
        <v>22</v>
      </c>
      <c r="J268" s="15">
        <f>IF(Form_Responses1[[#This Row],[hoi_chung_vanh_man]]="Không", 0, 1)</f>
        <v>0</v>
      </c>
      <c r="K268" s="2" t="s">
        <v>21</v>
      </c>
      <c r="L268" s="15">
        <f>IF(Form_Responses1[[#This Row],[ckd]]="Không", 0, 1)</f>
        <v>0</v>
      </c>
      <c r="M268" s="2" t="s">
        <v>21</v>
      </c>
      <c r="N268" s="15">
        <f t="shared" si="9"/>
        <v>0</v>
      </c>
      <c r="O268" s="2" t="s">
        <v>21</v>
      </c>
      <c r="P268" s="15">
        <f>IF(Form_Responses1[[#This Row],[phan_loai_the_lam_sang]]="Suy tim mất bù cấp", 1,0)</f>
        <v>1</v>
      </c>
      <c r="Q268" s="15">
        <f>IF(Form_Responses1[[#This Row],[phan_loai_the_lam_sang]]="Phù phổi cấp", 1, 0)</f>
        <v>0</v>
      </c>
      <c r="R268" s="15">
        <f>IF(Form_Responses1[[#This Row],[phan_loai_the_lam_sang]]="Choáng tim", 1, 0)</f>
        <v>0</v>
      </c>
      <c r="S268" s="2" t="s">
        <v>23</v>
      </c>
      <c r="T268" s="15">
        <v>114</v>
      </c>
      <c r="U268" s="15">
        <v>170</v>
      </c>
      <c r="V268" s="15">
        <v>100</v>
      </c>
      <c r="W268" s="15">
        <f>IF(Form_Responses1[[#This Row],[hcvc]]="Không", 0, 1)</f>
        <v>0</v>
      </c>
      <c r="X268" s="2" t="s">
        <v>21</v>
      </c>
      <c r="Y268" s="15">
        <f>IF(Form_Responses1[[#This Row],[suy_ho_hap]]="Không", 0, 1)</f>
        <v>0</v>
      </c>
      <c r="Z268" s="2" t="s">
        <v>21</v>
      </c>
      <c r="AA268" s="15">
        <f>IF(Form_Responses1[[#This Row],[rung_nhi]]="Không", 0, 1)</f>
        <v>0</v>
      </c>
      <c r="AB268" s="2" t="s">
        <v>21</v>
      </c>
      <c r="AC268" s="15">
        <v>428</v>
      </c>
      <c r="AD268" s="15">
        <v>0.08</v>
      </c>
      <c r="AE268" s="15">
        <v>7.04</v>
      </c>
      <c r="AF268" s="15">
        <v>138</v>
      </c>
      <c r="AG268" s="15">
        <v>140</v>
      </c>
      <c r="AH268" s="15">
        <v>134</v>
      </c>
      <c r="AI268" s="15">
        <v>3.7</v>
      </c>
      <c r="AJ268" s="15">
        <v>17</v>
      </c>
      <c r="AK268" s="15">
        <v>1.04</v>
      </c>
      <c r="AL268" s="2" t="s">
        <v>21</v>
      </c>
      <c r="AM268" s="28">
        <v>8743.1</v>
      </c>
      <c r="AN268" s="6">
        <f>IF(Form_Responses1[[#This Row],[NT_proBNP &gt; 35000]]="Có", 35001, Form_Responses1[[#This Row],[NT_ProBNP]])</f>
        <v>8743.1</v>
      </c>
      <c r="AO268" s="27">
        <f>IF(Form_Responses1[[#This Row],[NT_proBNP &gt; 35000]]="Có", 1, 0)</f>
        <v>0</v>
      </c>
      <c r="AP268" s="15">
        <v>36.5</v>
      </c>
      <c r="AQ268" s="15">
        <v>192</v>
      </c>
      <c r="AR268" s="15">
        <v>138</v>
      </c>
      <c r="AS268" s="27">
        <v>353</v>
      </c>
      <c r="AT268" s="15">
        <v>38</v>
      </c>
      <c r="AU268" s="15">
        <v>39</v>
      </c>
      <c r="AV268" s="15">
        <v>48</v>
      </c>
      <c r="AW268" s="15">
        <v>21</v>
      </c>
      <c r="AX268" s="15">
        <v>56</v>
      </c>
      <c r="AY268" s="22">
        <f>IF(Form_Responses1[[#This Row],[ket_cuc]]="Không tử vong", 0, 1)</f>
        <v>0</v>
      </c>
      <c r="AZ268" s="2" t="s">
        <v>24</v>
      </c>
      <c r="BA268" s="32">
        <v>35</v>
      </c>
      <c r="BB268" s="32">
        <v>4.6115213010856769E-2</v>
      </c>
    </row>
    <row r="269" spans="1:54" ht="13" x14ac:dyDescent="0.15">
      <c r="A269" s="1" t="s">
        <v>255</v>
      </c>
      <c r="B269" s="6">
        <v>56</v>
      </c>
      <c r="C269" s="6">
        <f>IF(Form_Responses1[[#This Row],[gioi_tinh]]="Nữ", 0, 1)</f>
        <v>0</v>
      </c>
      <c r="D269" s="1" t="s">
        <v>20</v>
      </c>
      <c r="E269" s="6">
        <v>24</v>
      </c>
      <c r="F269" s="6">
        <f>IF(Form_Responses1[[#This Row],[dai_thao_duong]]="Không", 0, 1)</f>
        <v>0</v>
      </c>
      <c r="G269" s="1" t="s">
        <v>21</v>
      </c>
      <c r="H269" s="6">
        <f t="shared" si="8"/>
        <v>1</v>
      </c>
      <c r="I269" s="1" t="s">
        <v>22</v>
      </c>
      <c r="J269" s="6">
        <f>IF(Form_Responses1[[#This Row],[hoi_chung_vanh_man]]="Không", 0, 1)</f>
        <v>0</v>
      </c>
      <c r="K269" s="1" t="s">
        <v>21</v>
      </c>
      <c r="L269" s="6">
        <f>IF(Form_Responses1[[#This Row],[ckd]]="Không", 0, 1)</f>
        <v>0</v>
      </c>
      <c r="M269" s="1" t="s">
        <v>21</v>
      </c>
      <c r="N269" s="6">
        <f t="shared" si="9"/>
        <v>0</v>
      </c>
      <c r="O269" s="1" t="s">
        <v>21</v>
      </c>
      <c r="P269" s="6">
        <f>IF(Form_Responses1[[#This Row],[phan_loai_the_lam_sang]]="Suy tim mất bù cấp", 1,0)</f>
        <v>0</v>
      </c>
      <c r="Q269" s="6">
        <f>IF(Form_Responses1[[#This Row],[phan_loai_the_lam_sang]]="Phù phổi cấp", 1, 0)</f>
        <v>1</v>
      </c>
      <c r="R269" s="6">
        <f>IF(Form_Responses1[[#This Row],[phan_loai_the_lam_sang]]="Choáng tim", 1, 0)</f>
        <v>0</v>
      </c>
      <c r="S269" s="1" t="s">
        <v>45</v>
      </c>
      <c r="T269" s="6">
        <v>99</v>
      </c>
      <c r="U269" s="6">
        <v>110</v>
      </c>
      <c r="V269" s="6">
        <v>70</v>
      </c>
      <c r="W269" s="6">
        <f>IF(Form_Responses1[[#This Row],[hcvc]]="Không", 0, 1)</f>
        <v>0</v>
      </c>
      <c r="X269" s="1" t="s">
        <v>21</v>
      </c>
      <c r="Y269" s="6">
        <f>IF(Form_Responses1[[#This Row],[suy_ho_hap]]="Không", 0, 1)</f>
        <v>1</v>
      </c>
      <c r="Z269" s="1" t="s">
        <v>22</v>
      </c>
      <c r="AA269" s="6">
        <f>IF(Form_Responses1[[#This Row],[rung_nhi]]="Không", 0, 1)</f>
        <v>0</v>
      </c>
      <c r="AB269" s="1" t="s">
        <v>21</v>
      </c>
      <c r="AC269" s="6">
        <v>450</v>
      </c>
      <c r="AD269" s="6">
        <v>0.09</v>
      </c>
      <c r="AE269" s="6">
        <v>14.3</v>
      </c>
      <c r="AF269" s="6">
        <v>132</v>
      </c>
      <c r="AG269" s="6">
        <v>157</v>
      </c>
      <c r="AH269" s="6">
        <v>129</v>
      </c>
      <c r="AI269" s="6">
        <v>3.5</v>
      </c>
      <c r="AJ269" s="6">
        <v>27</v>
      </c>
      <c r="AK269" s="6">
        <v>1.22</v>
      </c>
      <c r="AL269" s="1" t="s">
        <v>21</v>
      </c>
      <c r="AM269" s="1">
        <v>34351</v>
      </c>
      <c r="AN269" s="6">
        <f>IF(Form_Responses1[[#This Row],[NT_proBNP &gt; 35000]]="Có", 35001, Form_Responses1[[#This Row],[NT_ProBNP]])</f>
        <v>34351</v>
      </c>
      <c r="AO269" s="6">
        <f>IF(Form_Responses1[[#This Row],[NT_proBNP &gt; 35000]]="Có", 1, 0)</f>
        <v>0</v>
      </c>
      <c r="AP269" s="6">
        <v>54.69</v>
      </c>
      <c r="AQ269" s="6">
        <v>50</v>
      </c>
      <c r="AR269" s="6">
        <v>49</v>
      </c>
      <c r="AS269" s="6">
        <v>251</v>
      </c>
      <c r="AT269" s="6">
        <v>46.9</v>
      </c>
      <c r="AU269" s="6">
        <v>64.900000000000006</v>
      </c>
      <c r="AV269" s="6">
        <v>73.2</v>
      </c>
      <c r="AW269" s="6">
        <v>21</v>
      </c>
      <c r="AX269" s="6">
        <v>40</v>
      </c>
      <c r="AY269" s="24">
        <f>IF(Form_Responses1[[#This Row],[ket_cuc]]="Không tử vong", 0, 1)</f>
        <v>0</v>
      </c>
      <c r="AZ269" s="1" t="s">
        <v>24</v>
      </c>
      <c r="BA269" s="32">
        <v>44</v>
      </c>
      <c r="BB269" s="32">
        <v>7.0312429125726217E-2</v>
      </c>
    </row>
    <row r="270" spans="1:54" ht="13" x14ac:dyDescent="0.15">
      <c r="A270" s="2" t="s">
        <v>312</v>
      </c>
      <c r="B270" s="15">
        <v>33</v>
      </c>
      <c r="C270" s="15">
        <f>IF(Form_Responses1[[#This Row],[gioi_tinh]]="Nữ", 0, 1)</f>
        <v>1</v>
      </c>
      <c r="D270" s="2" t="s">
        <v>26</v>
      </c>
      <c r="E270" s="15">
        <v>31.1</v>
      </c>
      <c r="F270" s="15">
        <f>IF(Form_Responses1[[#This Row],[dai_thao_duong]]="Không", 0, 1)</f>
        <v>0</v>
      </c>
      <c r="G270" s="2" t="s">
        <v>21</v>
      </c>
      <c r="H270" s="15">
        <f t="shared" si="8"/>
        <v>0</v>
      </c>
      <c r="I270" s="2" t="s">
        <v>21</v>
      </c>
      <c r="J270" s="15">
        <f>IF(Form_Responses1[[#This Row],[hoi_chung_vanh_man]]="Không", 0, 1)</f>
        <v>0</v>
      </c>
      <c r="K270" s="2" t="s">
        <v>21</v>
      </c>
      <c r="L270" s="15">
        <f>IF(Form_Responses1[[#This Row],[ckd]]="Không", 0, 1)</f>
        <v>0</v>
      </c>
      <c r="M270" s="2" t="s">
        <v>21</v>
      </c>
      <c r="N270" s="15">
        <f t="shared" si="9"/>
        <v>0</v>
      </c>
      <c r="O270" s="2" t="s">
        <v>21</v>
      </c>
      <c r="P270" s="15">
        <f>IF(Form_Responses1[[#This Row],[phan_loai_the_lam_sang]]="Suy tim mất bù cấp", 1,0)</f>
        <v>1</v>
      </c>
      <c r="Q270" s="15">
        <f>IF(Form_Responses1[[#This Row],[phan_loai_the_lam_sang]]="Phù phổi cấp", 1, 0)</f>
        <v>0</v>
      </c>
      <c r="R270" s="15">
        <f>IF(Form_Responses1[[#This Row],[phan_loai_the_lam_sang]]="Choáng tim", 1, 0)</f>
        <v>0</v>
      </c>
      <c r="S270" s="2" t="s">
        <v>23</v>
      </c>
      <c r="T270" s="15">
        <v>145</v>
      </c>
      <c r="U270" s="15">
        <v>90</v>
      </c>
      <c r="V270" s="15">
        <v>60</v>
      </c>
      <c r="W270" s="15">
        <f>IF(Form_Responses1[[#This Row],[hcvc]]="Không", 0, 1)</f>
        <v>0</v>
      </c>
      <c r="X270" s="2" t="s">
        <v>21</v>
      </c>
      <c r="Y270" s="15">
        <f>IF(Form_Responses1[[#This Row],[suy_ho_hap]]="Không", 0, 1)</f>
        <v>0</v>
      </c>
      <c r="Z270" s="2" t="s">
        <v>21</v>
      </c>
      <c r="AA270" s="15">
        <f>IF(Form_Responses1[[#This Row],[rung_nhi]]="Không", 0, 1)</f>
        <v>0</v>
      </c>
      <c r="AB270" s="2" t="s">
        <v>21</v>
      </c>
      <c r="AC270" s="15">
        <v>506</v>
      </c>
      <c r="AD270" s="15">
        <v>0.08</v>
      </c>
      <c r="AE270" s="15">
        <v>11.77</v>
      </c>
      <c r="AF270" s="15">
        <v>121</v>
      </c>
      <c r="AG270" s="15">
        <v>291</v>
      </c>
      <c r="AH270" s="15">
        <v>113</v>
      </c>
      <c r="AI270" s="15">
        <v>4.8</v>
      </c>
      <c r="AJ270" s="15">
        <v>10.3</v>
      </c>
      <c r="AK270" s="15">
        <v>1.59</v>
      </c>
      <c r="AL270" s="2" t="s">
        <v>22</v>
      </c>
      <c r="AM270" s="12"/>
      <c r="AN270" s="6">
        <f>IF(Form_Responses1[[#This Row],[NT_proBNP &gt; 35000]]="Có", 35001, Form_Responses1[[#This Row],[NT_ProBNP]])</f>
        <v>35001</v>
      </c>
      <c r="AO270" s="18">
        <f>IF(Form_Responses1[[#This Row],[NT_proBNP &gt; 35000]]="Có", 1, 0)</f>
        <v>1</v>
      </c>
      <c r="AP270" s="15">
        <v>88.83</v>
      </c>
      <c r="AQ270" s="15">
        <v>537</v>
      </c>
      <c r="AR270" s="15">
        <v>296</v>
      </c>
      <c r="AS270" s="15">
        <v>118</v>
      </c>
      <c r="AT270" s="15">
        <v>52</v>
      </c>
      <c r="AU270" s="15">
        <v>62.2</v>
      </c>
      <c r="AV270" s="15">
        <v>65.2</v>
      </c>
      <c r="AW270" s="15">
        <v>21</v>
      </c>
      <c r="AX270" s="15">
        <v>39</v>
      </c>
      <c r="AY270" s="22">
        <f>IF(Form_Responses1[[#This Row],[ket_cuc]]="Không tử vong", 0, 1)</f>
        <v>0</v>
      </c>
      <c r="AZ270" s="2" t="s">
        <v>24</v>
      </c>
      <c r="BA270" s="32">
        <v>44</v>
      </c>
      <c r="BB270" s="32">
        <v>5.7122407633936917E-2</v>
      </c>
    </row>
    <row r="271" spans="1:54" ht="13" x14ac:dyDescent="0.15">
      <c r="A271" s="1" t="s">
        <v>264</v>
      </c>
      <c r="B271" s="6">
        <v>66</v>
      </c>
      <c r="C271" s="6">
        <f>IF(Form_Responses1[[#This Row],[gioi_tinh]]="Nữ", 0, 1)</f>
        <v>0</v>
      </c>
      <c r="D271" s="1" t="s">
        <v>20</v>
      </c>
      <c r="E271" s="6">
        <v>26.6</v>
      </c>
      <c r="F271" s="6">
        <f>IF(Form_Responses1[[#This Row],[dai_thao_duong]]="Không", 0, 1)</f>
        <v>0</v>
      </c>
      <c r="G271" s="1" t="s">
        <v>21</v>
      </c>
      <c r="H271" s="6">
        <f t="shared" si="8"/>
        <v>0</v>
      </c>
      <c r="I271" s="1" t="s">
        <v>21</v>
      </c>
      <c r="J271" s="6">
        <f>IF(Form_Responses1[[#This Row],[hoi_chung_vanh_man]]="Không", 0, 1)</f>
        <v>1</v>
      </c>
      <c r="K271" s="1" t="s">
        <v>22</v>
      </c>
      <c r="L271" s="6">
        <f>IF(Form_Responses1[[#This Row],[ckd]]="Không", 0, 1)</f>
        <v>0</v>
      </c>
      <c r="M271" s="1" t="s">
        <v>21</v>
      </c>
      <c r="N271" s="6">
        <f t="shared" si="9"/>
        <v>0</v>
      </c>
      <c r="O271" s="1" t="s">
        <v>21</v>
      </c>
      <c r="P271" s="6">
        <f>IF(Form_Responses1[[#This Row],[phan_loai_the_lam_sang]]="Suy tim mất bù cấp", 1,0)</f>
        <v>1</v>
      </c>
      <c r="Q271" s="6">
        <f>IF(Form_Responses1[[#This Row],[phan_loai_the_lam_sang]]="Phù phổi cấp", 1, 0)</f>
        <v>0</v>
      </c>
      <c r="R271" s="6">
        <f>IF(Form_Responses1[[#This Row],[phan_loai_the_lam_sang]]="Choáng tim", 1, 0)</f>
        <v>0</v>
      </c>
      <c r="S271" s="1" t="s">
        <v>23</v>
      </c>
      <c r="T271" s="6">
        <v>130</v>
      </c>
      <c r="U271" s="6">
        <v>100</v>
      </c>
      <c r="V271" s="6">
        <v>60</v>
      </c>
      <c r="W271" s="6">
        <f>IF(Form_Responses1[[#This Row],[hcvc]]="Không", 0, 1)</f>
        <v>0</v>
      </c>
      <c r="X271" s="1" t="s">
        <v>21</v>
      </c>
      <c r="Y271" s="6">
        <f>IF(Form_Responses1[[#This Row],[suy_ho_hap]]="Không", 0, 1)</f>
        <v>1</v>
      </c>
      <c r="Z271" s="1" t="s">
        <v>22</v>
      </c>
      <c r="AA271" s="6">
        <f>IF(Form_Responses1[[#This Row],[rung_nhi]]="Không", 0, 1)</f>
        <v>1</v>
      </c>
      <c r="AB271" s="1" t="s">
        <v>22</v>
      </c>
      <c r="AC271" s="6">
        <v>427</v>
      </c>
      <c r="AD271" s="6">
        <v>0.08</v>
      </c>
      <c r="AE271" s="6">
        <v>7.86</v>
      </c>
      <c r="AF271" s="6">
        <v>136</v>
      </c>
      <c r="AG271" s="6">
        <v>219</v>
      </c>
      <c r="AH271" s="6">
        <v>122</v>
      </c>
      <c r="AI271" s="6">
        <v>4.0999999999999996</v>
      </c>
      <c r="AJ271" s="6">
        <v>27</v>
      </c>
      <c r="AK271" s="6">
        <v>0.91</v>
      </c>
      <c r="AL271" s="1" t="s">
        <v>21</v>
      </c>
      <c r="AM271" s="1">
        <v>23270.3</v>
      </c>
      <c r="AN271" s="6">
        <f>IF(Form_Responses1[[#This Row],[NT_proBNP &gt; 35000]]="Có", 35001, Form_Responses1[[#This Row],[NT_ProBNP]])</f>
        <v>23270.3</v>
      </c>
      <c r="AO271" s="6">
        <f>IF(Form_Responses1[[#This Row],[NT_proBNP &gt; 35000]]="Có", 1, 0)</f>
        <v>0</v>
      </c>
      <c r="AP271" s="6">
        <v>166.57</v>
      </c>
      <c r="AQ271" s="6">
        <v>137</v>
      </c>
      <c r="AR271" s="6">
        <v>65</v>
      </c>
      <c r="AS271" s="6">
        <v>140</v>
      </c>
      <c r="AT271" s="6">
        <v>46.5</v>
      </c>
      <c r="AU271" s="6">
        <v>55.7</v>
      </c>
      <c r="AV271" s="6">
        <v>62.9</v>
      </c>
      <c r="AW271" s="6">
        <v>21</v>
      </c>
      <c r="AX271" s="6">
        <v>87</v>
      </c>
      <c r="AY271" s="24">
        <f>IF(Form_Responses1[[#This Row],[ket_cuc]]="Không tử vong", 0, 1)</f>
        <v>0</v>
      </c>
      <c r="AZ271" s="1" t="s">
        <v>24</v>
      </c>
      <c r="BA271" s="32">
        <v>52</v>
      </c>
      <c r="BB271" s="32">
        <v>0.15501460564148759</v>
      </c>
    </row>
    <row r="272" spans="1:54" ht="13" x14ac:dyDescent="0.15">
      <c r="A272" s="2" t="s">
        <v>151</v>
      </c>
      <c r="B272" s="15">
        <v>55</v>
      </c>
      <c r="C272" s="15">
        <f>IF(Form_Responses1[[#This Row],[gioi_tinh]]="Nữ", 0, 1)</f>
        <v>1</v>
      </c>
      <c r="D272" s="2" t="s">
        <v>26</v>
      </c>
      <c r="E272" s="15">
        <v>25.4</v>
      </c>
      <c r="F272" s="15">
        <f>IF(Form_Responses1[[#This Row],[dai_thao_duong]]="Không", 0, 1)</f>
        <v>0</v>
      </c>
      <c r="G272" s="2" t="s">
        <v>21</v>
      </c>
      <c r="H272" s="15">
        <f t="shared" si="8"/>
        <v>0</v>
      </c>
      <c r="I272" s="2" t="s">
        <v>21</v>
      </c>
      <c r="J272" s="15">
        <f>IF(Form_Responses1[[#This Row],[hoi_chung_vanh_man]]="Không", 0, 1)</f>
        <v>0</v>
      </c>
      <c r="K272" s="2" t="s">
        <v>21</v>
      </c>
      <c r="L272" s="15">
        <f>IF(Form_Responses1[[#This Row],[ckd]]="Không", 0, 1)</f>
        <v>0</v>
      </c>
      <c r="M272" s="2" t="s">
        <v>21</v>
      </c>
      <c r="N272" s="15">
        <f t="shared" si="9"/>
        <v>0</v>
      </c>
      <c r="O272" s="2" t="s">
        <v>21</v>
      </c>
      <c r="P272" s="15">
        <f>IF(Form_Responses1[[#This Row],[phan_loai_the_lam_sang]]="Suy tim mất bù cấp", 1,0)</f>
        <v>1</v>
      </c>
      <c r="Q272" s="15">
        <f>IF(Form_Responses1[[#This Row],[phan_loai_the_lam_sang]]="Phù phổi cấp", 1, 0)</f>
        <v>0</v>
      </c>
      <c r="R272" s="15">
        <f>IF(Form_Responses1[[#This Row],[phan_loai_the_lam_sang]]="Choáng tim", 1, 0)</f>
        <v>0</v>
      </c>
      <c r="S272" s="2" t="s">
        <v>23</v>
      </c>
      <c r="T272" s="15">
        <v>58</v>
      </c>
      <c r="U272" s="15">
        <v>90</v>
      </c>
      <c r="V272" s="15">
        <v>60</v>
      </c>
      <c r="W272" s="15">
        <f>IF(Form_Responses1[[#This Row],[hcvc]]="Không", 0, 1)</f>
        <v>0</v>
      </c>
      <c r="X272" s="2" t="s">
        <v>21</v>
      </c>
      <c r="Y272" s="15">
        <f>IF(Form_Responses1[[#This Row],[suy_ho_hap]]="Không", 0, 1)</f>
        <v>1</v>
      </c>
      <c r="Z272" s="2" t="s">
        <v>22</v>
      </c>
      <c r="AA272" s="15">
        <f>IF(Form_Responses1[[#This Row],[rung_nhi]]="Không", 0, 1)</f>
        <v>0</v>
      </c>
      <c r="AB272" s="2" t="s">
        <v>21</v>
      </c>
      <c r="AC272" s="15">
        <v>505</v>
      </c>
      <c r="AD272" s="15">
        <v>0.12</v>
      </c>
      <c r="AE272" s="15">
        <v>12.59</v>
      </c>
      <c r="AF272" s="15">
        <v>117</v>
      </c>
      <c r="AG272" s="15">
        <v>328</v>
      </c>
      <c r="AH272" s="15">
        <v>137</v>
      </c>
      <c r="AI272" s="15">
        <v>3.7</v>
      </c>
      <c r="AJ272" s="15">
        <v>15.9</v>
      </c>
      <c r="AK272" s="15">
        <v>1.82</v>
      </c>
      <c r="AL272" s="2" t="s">
        <v>21</v>
      </c>
      <c r="AM272" s="28">
        <v>16779</v>
      </c>
      <c r="AN272" s="6">
        <f>IF(Form_Responses1[[#This Row],[NT_proBNP &gt; 35000]]="Có", 35001, Form_Responses1[[#This Row],[NT_ProBNP]])</f>
        <v>16779</v>
      </c>
      <c r="AO272" s="27">
        <f>IF(Form_Responses1[[#This Row],[NT_proBNP &gt; 35000]]="Có", 1, 0)</f>
        <v>0</v>
      </c>
      <c r="AP272" s="15">
        <v>79471.3</v>
      </c>
      <c r="AQ272" s="15">
        <v>294</v>
      </c>
      <c r="AR272" s="15">
        <v>102</v>
      </c>
      <c r="AS272" s="15">
        <v>139</v>
      </c>
      <c r="AU272" s="15">
        <v>65.3</v>
      </c>
      <c r="AV272" s="15">
        <v>72.5</v>
      </c>
      <c r="AW272" s="15">
        <v>21</v>
      </c>
      <c r="AX272" s="27">
        <v>50</v>
      </c>
      <c r="AY272" s="29">
        <f>IF(Form_Responses1[[#This Row],[ket_cuc]]="Không tử vong", 0, 1)</f>
        <v>0</v>
      </c>
      <c r="AZ272" s="2" t="s">
        <v>24</v>
      </c>
      <c r="BA272" s="32">
        <v>38</v>
      </c>
      <c r="BB272" s="32">
        <v>3.9501263803898547E-2</v>
      </c>
    </row>
    <row r="273" spans="1:54" ht="13" x14ac:dyDescent="0.15">
      <c r="A273" s="1" t="s">
        <v>118</v>
      </c>
      <c r="B273" s="6">
        <v>68</v>
      </c>
      <c r="C273" s="6">
        <f>IF(Form_Responses1[[#This Row],[gioi_tinh]]="Nữ", 0, 1)</f>
        <v>1</v>
      </c>
      <c r="D273" s="1" t="s">
        <v>26</v>
      </c>
      <c r="E273" s="6">
        <v>22.1</v>
      </c>
      <c r="F273" s="6">
        <f>IF(Form_Responses1[[#This Row],[dai_thao_duong]]="Không", 0, 1)</f>
        <v>0</v>
      </c>
      <c r="G273" s="1" t="s">
        <v>21</v>
      </c>
      <c r="H273" s="6">
        <f t="shared" si="8"/>
        <v>0</v>
      </c>
      <c r="I273" s="1" t="s">
        <v>21</v>
      </c>
      <c r="J273" s="6">
        <f>IF(Form_Responses1[[#This Row],[hoi_chung_vanh_man]]="Không", 0, 1)</f>
        <v>0</v>
      </c>
      <c r="K273" s="1" t="s">
        <v>21</v>
      </c>
      <c r="L273" s="6">
        <f>IF(Form_Responses1[[#This Row],[ckd]]="Không", 0, 1)</f>
        <v>0</v>
      </c>
      <c r="M273" s="1" t="s">
        <v>21</v>
      </c>
      <c r="N273" s="6">
        <f t="shared" si="9"/>
        <v>0</v>
      </c>
      <c r="O273" s="1" t="s">
        <v>21</v>
      </c>
      <c r="P273" s="6">
        <f>IF(Form_Responses1[[#This Row],[phan_loai_the_lam_sang]]="Suy tim mất bù cấp", 1,0)</f>
        <v>0</v>
      </c>
      <c r="Q273" s="6">
        <f>IF(Form_Responses1[[#This Row],[phan_loai_the_lam_sang]]="Phù phổi cấp", 1, 0)</f>
        <v>1</v>
      </c>
      <c r="R273" s="6">
        <f>IF(Form_Responses1[[#This Row],[phan_loai_the_lam_sang]]="Choáng tim", 1, 0)</f>
        <v>0</v>
      </c>
      <c r="S273" s="1" t="s">
        <v>45</v>
      </c>
      <c r="T273" s="6">
        <v>114</v>
      </c>
      <c r="U273" s="6">
        <v>100</v>
      </c>
      <c r="V273" s="6">
        <v>60</v>
      </c>
      <c r="W273" s="6">
        <f>IF(Form_Responses1[[#This Row],[hcvc]]="Không", 0, 1)</f>
        <v>1</v>
      </c>
      <c r="X273" s="1" t="s">
        <v>22</v>
      </c>
      <c r="Y273" s="6">
        <f>IF(Form_Responses1[[#This Row],[suy_ho_hap]]="Không", 0, 1)</f>
        <v>1</v>
      </c>
      <c r="Z273" s="1" t="s">
        <v>22</v>
      </c>
      <c r="AA273" s="6">
        <f>IF(Form_Responses1[[#This Row],[rung_nhi]]="Không", 0, 1)</f>
        <v>0</v>
      </c>
      <c r="AB273" s="1" t="s">
        <v>21</v>
      </c>
      <c r="AC273" s="6">
        <v>435</v>
      </c>
      <c r="AD273" s="6">
        <v>0.08</v>
      </c>
      <c r="AE273" s="6">
        <v>20.09</v>
      </c>
      <c r="AF273" s="6">
        <v>152</v>
      </c>
      <c r="AG273" s="6">
        <v>157</v>
      </c>
      <c r="AH273" s="6">
        <v>140</v>
      </c>
      <c r="AI273" s="6">
        <v>3.2</v>
      </c>
      <c r="AJ273" s="6">
        <v>20</v>
      </c>
      <c r="AK273" s="6">
        <v>1.57</v>
      </c>
      <c r="AL273" s="1" t="s">
        <v>21</v>
      </c>
      <c r="AM273" s="28">
        <v>18449.3</v>
      </c>
      <c r="AN273" s="6">
        <f>IF(Form_Responses1[[#This Row],[NT_proBNP &gt; 35000]]="Có", 35001, Form_Responses1[[#This Row],[NT_ProBNP]])</f>
        <v>18449.3</v>
      </c>
      <c r="AO273" s="27">
        <f>IF(Form_Responses1[[#This Row],[NT_proBNP &gt; 35000]]="Có", 1, 0)</f>
        <v>0</v>
      </c>
      <c r="AP273" s="6">
        <v>129574.2</v>
      </c>
      <c r="AQ273" s="6">
        <v>222</v>
      </c>
      <c r="AR273" s="6">
        <v>50</v>
      </c>
      <c r="AS273" s="6">
        <v>101</v>
      </c>
      <c r="AT273" s="6">
        <v>43</v>
      </c>
      <c r="AU273" s="6">
        <v>58.3</v>
      </c>
      <c r="AV273" s="6">
        <v>55.2</v>
      </c>
      <c r="AW273" s="6">
        <v>21</v>
      </c>
      <c r="AX273" s="6">
        <v>20</v>
      </c>
      <c r="AY273" s="24">
        <f>IF(Form_Responses1[[#This Row],[ket_cuc]]="Không tử vong", 0, 1)</f>
        <v>0</v>
      </c>
      <c r="AZ273" s="1" t="s">
        <v>24</v>
      </c>
      <c r="BA273" s="32">
        <v>48</v>
      </c>
      <c r="BB273" s="32">
        <v>0.11960247533103879</v>
      </c>
    </row>
    <row r="274" spans="1:54" ht="13" x14ac:dyDescent="0.15">
      <c r="A274" s="2" t="s">
        <v>332</v>
      </c>
      <c r="B274" s="15">
        <v>63</v>
      </c>
      <c r="C274" s="15">
        <f>IF(Form_Responses1[[#This Row],[gioi_tinh]]="Nữ", 0, 1)</f>
        <v>1</v>
      </c>
      <c r="D274" s="2" t="s">
        <v>26</v>
      </c>
      <c r="E274" s="15">
        <v>19.7</v>
      </c>
      <c r="F274" s="15">
        <f>IF(Form_Responses1[[#This Row],[dai_thao_duong]]="Không", 0, 1)</f>
        <v>0</v>
      </c>
      <c r="G274" s="2" t="s">
        <v>21</v>
      </c>
      <c r="H274" s="15">
        <f t="shared" si="8"/>
        <v>0</v>
      </c>
      <c r="I274" s="2" t="s">
        <v>21</v>
      </c>
      <c r="J274" s="15">
        <f>IF(Form_Responses1[[#This Row],[hoi_chung_vanh_man]]="Không", 0, 1)</f>
        <v>0</v>
      </c>
      <c r="K274" s="2" t="s">
        <v>21</v>
      </c>
      <c r="L274" s="15">
        <f>IF(Form_Responses1[[#This Row],[ckd]]="Không", 0, 1)</f>
        <v>0</v>
      </c>
      <c r="M274" s="2" t="s">
        <v>21</v>
      </c>
      <c r="N274" s="15">
        <f t="shared" si="9"/>
        <v>0</v>
      </c>
      <c r="O274" s="2" t="s">
        <v>21</v>
      </c>
      <c r="P274" s="15">
        <f>IF(Form_Responses1[[#This Row],[phan_loai_the_lam_sang]]="Suy tim mất bù cấp", 1,0)</f>
        <v>1</v>
      </c>
      <c r="Q274" s="15">
        <f>IF(Form_Responses1[[#This Row],[phan_loai_the_lam_sang]]="Phù phổi cấp", 1, 0)</f>
        <v>0</v>
      </c>
      <c r="R274" s="15">
        <f>IF(Form_Responses1[[#This Row],[phan_loai_the_lam_sang]]="Choáng tim", 1, 0)</f>
        <v>0</v>
      </c>
      <c r="S274" s="2" t="s">
        <v>23</v>
      </c>
      <c r="T274" s="15">
        <v>82</v>
      </c>
      <c r="U274" s="15">
        <v>100</v>
      </c>
      <c r="V274" s="15">
        <v>60</v>
      </c>
      <c r="W274" s="15">
        <f>IF(Form_Responses1[[#This Row],[hcvc]]="Không", 0, 1)</f>
        <v>0</v>
      </c>
      <c r="X274" s="2" t="s">
        <v>21</v>
      </c>
      <c r="Y274" s="15">
        <f>IF(Form_Responses1[[#This Row],[suy_ho_hap]]="Không", 0, 1)</f>
        <v>0</v>
      </c>
      <c r="Z274" s="2" t="s">
        <v>21</v>
      </c>
      <c r="AA274" s="15">
        <f>IF(Form_Responses1[[#This Row],[rung_nhi]]="Không", 0, 1)</f>
        <v>0</v>
      </c>
      <c r="AB274" s="2" t="s">
        <v>21</v>
      </c>
      <c r="AC274" s="15">
        <v>519</v>
      </c>
      <c r="AD274" s="15">
        <v>0.12</v>
      </c>
      <c r="AE274" s="15">
        <v>12.66</v>
      </c>
      <c r="AF274" s="15">
        <v>109</v>
      </c>
      <c r="AG274" s="15">
        <v>286</v>
      </c>
      <c r="AH274" s="15">
        <v>126</v>
      </c>
      <c r="AI274" s="15">
        <v>4.2</v>
      </c>
      <c r="AJ274" s="15">
        <v>60</v>
      </c>
      <c r="AK274" s="15">
        <v>1.8</v>
      </c>
      <c r="AL274" s="2" t="s">
        <v>21</v>
      </c>
      <c r="AM274" s="2">
        <v>28245.5</v>
      </c>
      <c r="AN274" s="6">
        <f>IF(Form_Responses1[[#This Row],[NT_proBNP &gt; 35000]]="Có", 35001, Form_Responses1[[#This Row],[NT_ProBNP]])</f>
        <v>28245.5</v>
      </c>
      <c r="AO274" s="15">
        <f>IF(Form_Responses1[[#This Row],[NT_proBNP &gt; 35000]]="Có", 1, 0)</f>
        <v>0</v>
      </c>
      <c r="AP274" s="18"/>
      <c r="AQ274" s="15">
        <v>311</v>
      </c>
      <c r="AR274" s="15">
        <v>362</v>
      </c>
      <c r="AS274" s="15">
        <v>172</v>
      </c>
      <c r="AT274" s="15">
        <v>57</v>
      </c>
      <c r="AU274" s="15">
        <v>58</v>
      </c>
      <c r="AV274" s="15">
        <v>74</v>
      </c>
      <c r="AW274" s="15">
        <v>21</v>
      </c>
      <c r="AX274" s="15">
        <v>100</v>
      </c>
      <c r="AY274" s="22">
        <f>IF(Form_Responses1[[#This Row],[ket_cuc]]="Không tử vong", 0, 1)</f>
        <v>0</v>
      </c>
      <c r="AZ274" s="2" t="s">
        <v>24</v>
      </c>
      <c r="BA274" s="32">
        <v>52</v>
      </c>
      <c r="BB274" s="32">
        <v>0.1529822174962768</v>
      </c>
    </row>
    <row r="275" spans="1:54" ht="13" x14ac:dyDescent="0.15">
      <c r="A275" s="1" t="s">
        <v>120</v>
      </c>
      <c r="B275" s="6">
        <v>35</v>
      </c>
      <c r="C275" s="6">
        <f>IF(Form_Responses1[[#This Row],[gioi_tinh]]="Nữ", 0, 1)</f>
        <v>1</v>
      </c>
      <c r="D275" s="1" t="s">
        <v>26</v>
      </c>
      <c r="E275" s="6">
        <v>23</v>
      </c>
      <c r="F275" s="6">
        <f>IF(Form_Responses1[[#This Row],[dai_thao_duong]]="Không", 0, 1)</f>
        <v>0</v>
      </c>
      <c r="G275" s="1" t="s">
        <v>21</v>
      </c>
      <c r="H275" s="6">
        <f t="shared" si="8"/>
        <v>0</v>
      </c>
      <c r="I275" s="1" t="s">
        <v>21</v>
      </c>
      <c r="J275" s="6">
        <f>IF(Form_Responses1[[#This Row],[hoi_chung_vanh_man]]="Không", 0, 1)</f>
        <v>0</v>
      </c>
      <c r="K275" s="1" t="s">
        <v>21</v>
      </c>
      <c r="L275" s="6">
        <f>IF(Form_Responses1[[#This Row],[ckd]]="Không", 0, 1)</f>
        <v>0</v>
      </c>
      <c r="M275" s="1" t="s">
        <v>21</v>
      </c>
      <c r="N275" s="6">
        <f t="shared" si="9"/>
        <v>0</v>
      </c>
      <c r="O275" s="1" t="s">
        <v>21</v>
      </c>
      <c r="P275" s="6">
        <f>IF(Form_Responses1[[#This Row],[phan_loai_the_lam_sang]]="Suy tim mất bù cấp", 1,0)</f>
        <v>0</v>
      </c>
      <c r="Q275" s="6">
        <f>IF(Form_Responses1[[#This Row],[phan_loai_the_lam_sang]]="Phù phổi cấp", 1, 0)</f>
        <v>0</v>
      </c>
      <c r="R275" s="6">
        <f>IF(Form_Responses1[[#This Row],[phan_loai_the_lam_sang]]="Choáng tim", 1, 0)</f>
        <v>1</v>
      </c>
      <c r="S275" s="1" t="s">
        <v>28</v>
      </c>
      <c r="T275" s="6">
        <v>112</v>
      </c>
      <c r="U275" s="6">
        <v>70</v>
      </c>
      <c r="V275" s="6">
        <v>40</v>
      </c>
      <c r="W275" s="6">
        <f>IF(Form_Responses1[[#This Row],[hcvc]]="Không", 0, 1)</f>
        <v>0</v>
      </c>
      <c r="X275" s="1" t="s">
        <v>21</v>
      </c>
      <c r="Y275" s="6">
        <f>IF(Form_Responses1[[#This Row],[suy_ho_hap]]="Không", 0, 1)</f>
        <v>1</v>
      </c>
      <c r="Z275" s="1" t="s">
        <v>22</v>
      </c>
      <c r="AA275" s="6">
        <f>IF(Form_Responses1[[#This Row],[rung_nhi]]="Không", 0, 1)</f>
        <v>0</v>
      </c>
      <c r="AB275" s="1" t="s">
        <v>21</v>
      </c>
      <c r="AC275" s="6">
        <v>464</v>
      </c>
      <c r="AD275" s="6">
        <v>0.08</v>
      </c>
      <c r="AE275" s="6">
        <v>9.15</v>
      </c>
      <c r="AF275" s="6">
        <v>143</v>
      </c>
      <c r="AG275" s="6">
        <v>311</v>
      </c>
      <c r="AH275" s="6">
        <v>131</v>
      </c>
      <c r="AI275" s="6">
        <v>4.5999999999999996</v>
      </c>
      <c r="AJ275" s="6">
        <v>20</v>
      </c>
      <c r="AK275" s="6">
        <v>1.08</v>
      </c>
      <c r="AL275" s="1" t="s">
        <v>21</v>
      </c>
      <c r="AM275" s="28">
        <v>10959</v>
      </c>
      <c r="AN275" s="6">
        <f>IF(Form_Responses1[[#This Row],[NT_proBNP &gt; 35000]]="Có", 35001, Form_Responses1[[#This Row],[NT_ProBNP]])</f>
        <v>10959</v>
      </c>
      <c r="AO275" s="27">
        <f>IF(Form_Responses1[[#This Row],[NT_proBNP &gt; 35000]]="Có", 1, 0)</f>
        <v>0</v>
      </c>
      <c r="AP275" s="6">
        <v>30.4</v>
      </c>
      <c r="AQ275" s="6">
        <v>75</v>
      </c>
      <c r="AR275" s="6">
        <v>124</v>
      </c>
      <c r="AS275" s="6">
        <v>103</v>
      </c>
      <c r="AT275" s="6">
        <v>59</v>
      </c>
      <c r="AU275" s="6">
        <v>55.7</v>
      </c>
      <c r="AV275" s="6">
        <v>62</v>
      </c>
      <c r="AW275" s="6">
        <v>21</v>
      </c>
      <c r="AX275" s="27">
        <v>40</v>
      </c>
      <c r="AY275" s="29">
        <f>IF(Form_Responses1[[#This Row],[ket_cuc]]="Không tử vong", 0, 1)</f>
        <v>1</v>
      </c>
      <c r="AZ275" s="1" t="s">
        <v>29</v>
      </c>
      <c r="BA275" s="32">
        <v>48</v>
      </c>
      <c r="BB275" s="32">
        <v>6.9862720943745071E-2</v>
      </c>
    </row>
    <row r="276" spans="1:54" ht="13" x14ac:dyDescent="0.15">
      <c r="A276" s="2" t="s">
        <v>328</v>
      </c>
      <c r="B276" s="15">
        <v>37</v>
      </c>
      <c r="C276" s="15">
        <f>IF(Form_Responses1[[#This Row],[gioi_tinh]]="Nữ", 0, 1)</f>
        <v>1</v>
      </c>
      <c r="D276" s="2" t="s">
        <v>26</v>
      </c>
      <c r="E276" s="15">
        <v>29.4</v>
      </c>
      <c r="F276" s="15">
        <f>IF(Form_Responses1[[#This Row],[dai_thao_duong]]="Không", 0, 1)</f>
        <v>1</v>
      </c>
      <c r="G276" s="2" t="s">
        <v>22</v>
      </c>
      <c r="H276" s="15">
        <f t="shared" si="8"/>
        <v>1</v>
      </c>
      <c r="I276" s="2" t="s">
        <v>22</v>
      </c>
      <c r="J276" s="15">
        <f>IF(Form_Responses1[[#This Row],[hoi_chung_vanh_man]]="Không", 0, 1)</f>
        <v>1</v>
      </c>
      <c r="K276" s="2" t="s">
        <v>22</v>
      </c>
      <c r="L276" s="15">
        <f>IF(Form_Responses1[[#This Row],[ckd]]="Không", 0, 1)</f>
        <v>0</v>
      </c>
      <c r="M276" s="2" t="s">
        <v>21</v>
      </c>
      <c r="N276" s="15">
        <f t="shared" si="9"/>
        <v>0</v>
      </c>
      <c r="O276" s="2" t="s">
        <v>21</v>
      </c>
      <c r="P276" s="15">
        <f>IF(Form_Responses1[[#This Row],[phan_loai_the_lam_sang]]="Suy tim mất bù cấp", 1,0)</f>
        <v>1</v>
      </c>
      <c r="Q276" s="15">
        <f>IF(Form_Responses1[[#This Row],[phan_loai_the_lam_sang]]="Phù phổi cấp", 1, 0)</f>
        <v>0</v>
      </c>
      <c r="R276" s="15">
        <f>IF(Form_Responses1[[#This Row],[phan_loai_the_lam_sang]]="Choáng tim", 1, 0)</f>
        <v>0</v>
      </c>
      <c r="S276" s="2" t="s">
        <v>23</v>
      </c>
      <c r="T276" s="15">
        <v>120</v>
      </c>
      <c r="U276" s="15">
        <v>120</v>
      </c>
      <c r="V276" s="15">
        <v>80</v>
      </c>
      <c r="W276" s="15">
        <f>IF(Form_Responses1[[#This Row],[hcvc]]="Không", 0, 1)</f>
        <v>0</v>
      </c>
      <c r="X276" s="2" t="s">
        <v>21</v>
      </c>
      <c r="Y276" s="15">
        <f>IF(Form_Responses1[[#This Row],[suy_ho_hap]]="Không", 0, 1)</f>
        <v>0</v>
      </c>
      <c r="Z276" s="2" t="s">
        <v>21</v>
      </c>
      <c r="AA276" s="15">
        <f>IF(Form_Responses1[[#This Row],[rung_nhi]]="Không", 0, 1)</f>
        <v>1</v>
      </c>
      <c r="AB276" s="2" t="s">
        <v>22</v>
      </c>
      <c r="AC276" s="15">
        <v>443</v>
      </c>
      <c r="AD276" s="15">
        <v>7.0000000000000007E-2</v>
      </c>
      <c r="AE276" s="15">
        <v>7.28</v>
      </c>
      <c r="AF276" s="15">
        <v>163</v>
      </c>
      <c r="AG276" s="15">
        <v>133</v>
      </c>
      <c r="AH276" s="15">
        <v>128</v>
      </c>
      <c r="AI276" s="15">
        <v>3.4</v>
      </c>
      <c r="AJ276" s="15">
        <v>28</v>
      </c>
      <c r="AK276" s="15">
        <v>1.1299999999999999</v>
      </c>
      <c r="AL276" s="2" t="s">
        <v>21</v>
      </c>
      <c r="AM276" s="2">
        <v>5609.15</v>
      </c>
      <c r="AN276" s="6">
        <f>IF(Form_Responses1[[#This Row],[NT_proBNP &gt; 35000]]="Có", 35001, Form_Responses1[[#This Row],[NT_ProBNP]])</f>
        <v>5609.15</v>
      </c>
      <c r="AO276" s="15">
        <f>IF(Form_Responses1[[#This Row],[NT_proBNP &gt; 35000]]="Có", 1, 0)</f>
        <v>0</v>
      </c>
      <c r="AP276" s="15">
        <v>9.69</v>
      </c>
      <c r="AQ276" s="15">
        <v>34</v>
      </c>
      <c r="AR276" s="15">
        <v>29</v>
      </c>
      <c r="AS276" s="15">
        <v>187</v>
      </c>
      <c r="AT276" s="15">
        <v>53</v>
      </c>
      <c r="AU276" s="15">
        <v>67</v>
      </c>
      <c r="AV276" s="15">
        <v>73</v>
      </c>
      <c r="AW276" s="15">
        <v>20</v>
      </c>
      <c r="AX276" s="15">
        <v>29</v>
      </c>
      <c r="AY276" s="22">
        <f>IF(Form_Responses1[[#This Row],[ket_cuc]]="Không tử vong", 0, 1)</f>
        <v>0</v>
      </c>
      <c r="AZ276" s="2" t="s">
        <v>24</v>
      </c>
      <c r="BA276" s="32">
        <v>40</v>
      </c>
      <c r="BB276" s="32">
        <v>4.6317983572524667E-2</v>
      </c>
    </row>
    <row r="277" spans="1:54" ht="13" x14ac:dyDescent="0.15">
      <c r="A277" s="1" t="s">
        <v>287</v>
      </c>
      <c r="B277" s="6">
        <v>35</v>
      </c>
      <c r="C277" s="6">
        <f>IF(Form_Responses1[[#This Row],[gioi_tinh]]="Nữ", 0, 1)</f>
        <v>1</v>
      </c>
      <c r="D277" s="1" t="s">
        <v>26</v>
      </c>
      <c r="E277" s="6">
        <v>26</v>
      </c>
      <c r="F277" s="6">
        <f>IF(Form_Responses1[[#This Row],[dai_thao_duong]]="Không", 0, 1)</f>
        <v>0</v>
      </c>
      <c r="G277" s="1" t="s">
        <v>21</v>
      </c>
      <c r="H277" s="6">
        <f t="shared" si="8"/>
        <v>0</v>
      </c>
      <c r="I277" s="1" t="s">
        <v>21</v>
      </c>
      <c r="J277" s="6">
        <f>IF(Form_Responses1[[#This Row],[hoi_chung_vanh_man]]="Không", 0, 1)</f>
        <v>0</v>
      </c>
      <c r="K277" s="1" t="s">
        <v>21</v>
      </c>
      <c r="L277" s="6">
        <f>IF(Form_Responses1[[#This Row],[ckd]]="Không", 0, 1)</f>
        <v>0</v>
      </c>
      <c r="M277" s="1" t="s">
        <v>21</v>
      </c>
      <c r="N277" s="6">
        <f t="shared" si="9"/>
        <v>0</v>
      </c>
      <c r="O277" s="1" t="s">
        <v>21</v>
      </c>
      <c r="P277" s="6">
        <f>IF(Form_Responses1[[#This Row],[phan_loai_the_lam_sang]]="Suy tim mất bù cấp", 1,0)</f>
        <v>1</v>
      </c>
      <c r="Q277" s="6">
        <f>IF(Form_Responses1[[#This Row],[phan_loai_the_lam_sang]]="Phù phổi cấp", 1, 0)</f>
        <v>0</v>
      </c>
      <c r="R277" s="6">
        <f>IF(Form_Responses1[[#This Row],[phan_loai_the_lam_sang]]="Choáng tim", 1, 0)</f>
        <v>0</v>
      </c>
      <c r="S277" s="1" t="s">
        <v>23</v>
      </c>
      <c r="T277" s="6">
        <v>46</v>
      </c>
      <c r="U277" s="6">
        <v>90</v>
      </c>
      <c r="V277" s="6">
        <v>60</v>
      </c>
      <c r="W277" s="6">
        <f>IF(Form_Responses1[[#This Row],[hcvc]]="Không", 0, 1)</f>
        <v>0</v>
      </c>
      <c r="X277" s="1" t="s">
        <v>21</v>
      </c>
      <c r="Y277" s="6">
        <f>IF(Form_Responses1[[#This Row],[suy_ho_hap]]="Không", 0, 1)</f>
        <v>0</v>
      </c>
      <c r="Z277" s="1" t="s">
        <v>21</v>
      </c>
      <c r="AA277" s="6">
        <f>IF(Form_Responses1[[#This Row],[rung_nhi]]="Không", 0, 1)</f>
        <v>0</v>
      </c>
      <c r="AB277" s="1" t="s">
        <v>21</v>
      </c>
      <c r="AC277" s="6">
        <v>444</v>
      </c>
      <c r="AD277" s="6">
        <v>0.1</v>
      </c>
      <c r="AE277" s="6">
        <v>8.0299999999999994</v>
      </c>
      <c r="AF277" s="6">
        <v>86</v>
      </c>
      <c r="AG277" s="6">
        <v>235</v>
      </c>
      <c r="AH277" s="6">
        <v>129</v>
      </c>
      <c r="AI277" s="6">
        <v>3.1</v>
      </c>
      <c r="AJ277" s="6">
        <v>9</v>
      </c>
      <c r="AK277" s="6">
        <v>0.88</v>
      </c>
      <c r="AL277" s="1" t="s">
        <v>21</v>
      </c>
      <c r="AM277" s="28">
        <v>6760.4</v>
      </c>
      <c r="AN277" s="6">
        <f>IF(Form_Responses1[[#This Row],[NT_proBNP &gt; 35000]]="Có", 35001, Form_Responses1[[#This Row],[NT_ProBNP]])</f>
        <v>6760.4</v>
      </c>
      <c r="AO277" s="27">
        <f>IF(Form_Responses1[[#This Row],[NT_proBNP &gt; 35000]]="Có", 1, 0)</f>
        <v>0</v>
      </c>
      <c r="AP277" s="6">
        <v>33.950000000000003</v>
      </c>
      <c r="AQ277" s="6">
        <v>24</v>
      </c>
      <c r="AR277" s="6">
        <v>25</v>
      </c>
      <c r="AS277" s="6">
        <v>101</v>
      </c>
      <c r="AU277" s="6">
        <v>78.599999999999994</v>
      </c>
      <c r="AV277" s="6">
        <v>85.5</v>
      </c>
      <c r="AW277" s="6">
        <v>20</v>
      </c>
      <c r="AX277" s="6">
        <v>45</v>
      </c>
      <c r="AY277" s="24">
        <f>IF(Form_Responses1[[#This Row],[ket_cuc]]="Không tử vong", 0, 1)</f>
        <v>0</v>
      </c>
      <c r="AZ277" s="1" t="s">
        <v>24</v>
      </c>
      <c r="BA277" s="32">
        <v>34</v>
      </c>
      <c r="BB277" s="32">
        <v>1.6780745724725096E-2</v>
      </c>
    </row>
    <row r="278" spans="1:54" ht="13" x14ac:dyDescent="0.15">
      <c r="A278" s="2" t="s">
        <v>144</v>
      </c>
      <c r="B278" s="15">
        <v>40</v>
      </c>
      <c r="C278" s="15">
        <f>IF(Form_Responses1[[#This Row],[gioi_tinh]]="Nữ", 0, 1)</f>
        <v>1</v>
      </c>
      <c r="D278" s="2" t="s">
        <v>26</v>
      </c>
      <c r="E278" s="15">
        <v>36.700000000000003</v>
      </c>
      <c r="F278" s="15">
        <f>IF(Form_Responses1[[#This Row],[dai_thao_duong]]="Không", 0, 1)</f>
        <v>0</v>
      </c>
      <c r="G278" s="2" t="s">
        <v>21</v>
      </c>
      <c r="H278" s="15">
        <f t="shared" si="8"/>
        <v>0</v>
      </c>
      <c r="I278" s="2" t="s">
        <v>21</v>
      </c>
      <c r="J278" s="15">
        <f>IF(Form_Responses1[[#This Row],[hoi_chung_vanh_man]]="Không", 0, 1)</f>
        <v>0</v>
      </c>
      <c r="K278" s="2" t="s">
        <v>21</v>
      </c>
      <c r="L278" s="15">
        <f>IF(Form_Responses1[[#This Row],[ckd]]="Không", 0, 1)</f>
        <v>0</v>
      </c>
      <c r="M278" s="2" t="s">
        <v>21</v>
      </c>
      <c r="N278" s="15">
        <f t="shared" si="9"/>
        <v>0</v>
      </c>
      <c r="O278" s="2" t="s">
        <v>21</v>
      </c>
      <c r="P278" s="15">
        <f>IF(Form_Responses1[[#This Row],[phan_loai_the_lam_sang]]="Suy tim mất bù cấp", 1,0)</f>
        <v>1</v>
      </c>
      <c r="Q278" s="15">
        <f>IF(Form_Responses1[[#This Row],[phan_loai_the_lam_sang]]="Phù phổi cấp", 1, 0)</f>
        <v>0</v>
      </c>
      <c r="R278" s="15">
        <f>IF(Form_Responses1[[#This Row],[phan_loai_the_lam_sang]]="Choáng tim", 1, 0)</f>
        <v>0</v>
      </c>
      <c r="S278" s="2" t="s">
        <v>23</v>
      </c>
      <c r="T278" s="15">
        <v>92</v>
      </c>
      <c r="U278" s="15">
        <v>120</v>
      </c>
      <c r="V278" s="15">
        <v>80</v>
      </c>
      <c r="W278" s="15">
        <f>IF(Form_Responses1[[#This Row],[hcvc]]="Không", 0, 1)</f>
        <v>0</v>
      </c>
      <c r="X278" s="2" t="s">
        <v>21</v>
      </c>
      <c r="Y278" s="15">
        <f>IF(Form_Responses1[[#This Row],[suy_ho_hap]]="Không", 0, 1)</f>
        <v>0</v>
      </c>
      <c r="Z278" s="2" t="s">
        <v>21</v>
      </c>
      <c r="AA278" s="15">
        <f>IF(Form_Responses1[[#This Row],[rung_nhi]]="Không", 0, 1)</f>
        <v>0</v>
      </c>
      <c r="AB278" s="2" t="s">
        <v>21</v>
      </c>
      <c r="AC278" s="15">
        <v>437</v>
      </c>
      <c r="AD278" s="15">
        <v>0.08</v>
      </c>
      <c r="AE278" s="15">
        <v>8.8699999999999992</v>
      </c>
      <c r="AF278" s="15">
        <v>160</v>
      </c>
      <c r="AG278" s="15">
        <v>210</v>
      </c>
      <c r="AH278" s="15">
        <v>137</v>
      </c>
      <c r="AI278" s="15">
        <v>4.5999999999999996</v>
      </c>
      <c r="AJ278" s="15">
        <v>29</v>
      </c>
      <c r="AK278" s="15">
        <v>1.57</v>
      </c>
      <c r="AL278" s="2" t="s">
        <v>21</v>
      </c>
      <c r="AM278" s="2">
        <v>1056</v>
      </c>
      <c r="AN278" s="6">
        <f>IF(Form_Responses1[[#This Row],[NT_proBNP &gt; 35000]]="Có", 35001, Form_Responses1[[#This Row],[NT_ProBNP]])</f>
        <v>1056</v>
      </c>
      <c r="AO278" s="15">
        <f>IF(Form_Responses1[[#This Row],[NT_proBNP &gt; 35000]]="Có", 1, 0)</f>
        <v>0</v>
      </c>
      <c r="AP278" s="15">
        <v>36.799999999999997</v>
      </c>
      <c r="AQ278" s="15">
        <v>91</v>
      </c>
      <c r="AR278" s="15">
        <v>85</v>
      </c>
      <c r="AS278" s="15">
        <v>84</v>
      </c>
      <c r="AT278" s="15">
        <v>46</v>
      </c>
      <c r="AU278" s="15">
        <v>58</v>
      </c>
      <c r="AV278" s="15">
        <v>67</v>
      </c>
      <c r="AW278" s="15">
        <v>20</v>
      </c>
      <c r="AX278" s="27">
        <v>35</v>
      </c>
      <c r="AY278" s="29">
        <f>IF(Form_Responses1[[#This Row],[ket_cuc]]="Không tử vong", 0, 1)</f>
        <v>0</v>
      </c>
      <c r="AZ278" s="2" t="s">
        <v>24</v>
      </c>
      <c r="BA278" s="32">
        <v>35</v>
      </c>
      <c r="BB278" s="32">
        <v>3.6124180754617867E-2</v>
      </c>
    </row>
    <row r="279" spans="1:54" ht="13" x14ac:dyDescent="0.15">
      <c r="A279" s="1" t="s">
        <v>84</v>
      </c>
      <c r="B279" s="6">
        <v>78</v>
      </c>
      <c r="C279" s="6">
        <f>IF(Form_Responses1[[#This Row],[gioi_tinh]]="Nữ", 0, 1)</f>
        <v>0</v>
      </c>
      <c r="D279" s="1" t="s">
        <v>20</v>
      </c>
      <c r="E279" s="6">
        <v>21.2</v>
      </c>
      <c r="F279" s="6">
        <f>IF(Form_Responses1[[#This Row],[dai_thao_duong]]="Không", 0, 1)</f>
        <v>1</v>
      </c>
      <c r="G279" s="1" t="s">
        <v>22</v>
      </c>
      <c r="H279" s="6">
        <f t="shared" si="8"/>
        <v>1</v>
      </c>
      <c r="I279" s="1" t="s">
        <v>22</v>
      </c>
      <c r="J279" s="6">
        <f>IF(Form_Responses1[[#This Row],[hoi_chung_vanh_man]]="Không", 0, 1)</f>
        <v>1</v>
      </c>
      <c r="K279" s="1" t="s">
        <v>22</v>
      </c>
      <c r="L279" s="6">
        <f>IF(Form_Responses1[[#This Row],[ckd]]="Không", 0, 1)</f>
        <v>0</v>
      </c>
      <c r="M279" s="1" t="s">
        <v>21</v>
      </c>
      <c r="N279" s="6">
        <f t="shared" si="9"/>
        <v>0</v>
      </c>
      <c r="O279" s="1" t="s">
        <v>21</v>
      </c>
      <c r="P279" s="6">
        <f>IF(Form_Responses1[[#This Row],[phan_loai_the_lam_sang]]="Suy tim mất bù cấp", 1,0)</f>
        <v>1</v>
      </c>
      <c r="Q279" s="6">
        <f>IF(Form_Responses1[[#This Row],[phan_loai_the_lam_sang]]="Phù phổi cấp", 1, 0)</f>
        <v>0</v>
      </c>
      <c r="R279" s="6">
        <f>IF(Form_Responses1[[#This Row],[phan_loai_the_lam_sang]]="Choáng tim", 1, 0)</f>
        <v>0</v>
      </c>
      <c r="S279" s="1" t="s">
        <v>23</v>
      </c>
      <c r="T279" s="6">
        <v>70</v>
      </c>
      <c r="U279" s="6">
        <v>120</v>
      </c>
      <c r="V279" s="6">
        <v>80</v>
      </c>
      <c r="W279" s="6">
        <f>IF(Form_Responses1[[#This Row],[hcvc]]="Không", 0, 1)</f>
        <v>0</v>
      </c>
      <c r="X279" s="1" t="s">
        <v>21</v>
      </c>
      <c r="Y279" s="6">
        <f>IF(Form_Responses1[[#This Row],[suy_ho_hap]]="Không", 0, 1)</f>
        <v>0</v>
      </c>
      <c r="Z279" s="1" t="s">
        <v>21</v>
      </c>
      <c r="AA279" s="6">
        <f>IF(Form_Responses1[[#This Row],[rung_nhi]]="Không", 0, 1)</f>
        <v>0</v>
      </c>
      <c r="AB279" s="1" t="s">
        <v>21</v>
      </c>
      <c r="AC279" s="6">
        <v>469</v>
      </c>
      <c r="AD279" s="6">
        <v>0.06</v>
      </c>
      <c r="AE279" s="6">
        <v>7.5</v>
      </c>
      <c r="AF279" s="6">
        <v>125</v>
      </c>
      <c r="AG279" s="6">
        <v>222</v>
      </c>
      <c r="AH279" s="6">
        <v>134</v>
      </c>
      <c r="AI279" s="6">
        <v>5.0999999999999996</v>
      </c>
      <c r="AJ279" s="6">
        <v>26</v>
      </c>
      <c r="AK279" s="6">
        <v>1.25</v>
      </c>
      <c r="AL279" s="1" t="s">
        <v>21</v>
      </c>
      <c r="AM279" s="1">
        <v>5547</v>
      </c>
      <c r="AN279" s="6">
        <f>IF(Form_Responses1[[#This Row],[NT_proBNP &gt; 35000]]="Có", 35001, Form_Responses1[[#This Row],[NT_ProBNP]])</f>
        <v>5547</v>
      </c>
      <c r="AO279" s="6">
        <f>IF(Form_Responses1[[#This Row],[NT_proBNP &gt; 35000]]="Có", 1, 0)</f>
        <v>0</v>
      </c>
      <c r="AP279" s="6">
        <v>39</v>
      </c>
      <c r="AQ279" s="6">
        <v>28</v>
      </c>
      <c r="AR279" s="6">
        <v>13</v>
      </c>
      <c r="AS279" s="6">
        <v>130</v>
      </c>
      <c r="AT279" s="6">
        <v>44</v>
      </c>
      <c r="AU279" s="6">
        <v>54</v>
      </c>
      <c r="AV279" s="6">
        <v>64</v>
      </c>
      <c r="AW279" s="6">
        <v>20</v>
      </c>
      <c r="AY279" s="25">
        <f>IF(Form_Responses1[[#This Row],[ket_cuc]]="Không tử vong", 0, 1)</f>
        <v>0</v>
      </c>
      <c r="AZ279" s="1" t="s">
        <v>24</v>
      </c>
      <c r="BA279" s="32">
        <v>41</v>
      </c>
      <c r="BB279" s="32">
        <v>7.3006369749456942E-2</v>
      </c>
    </row>
    <row r="280" spans="1:54" ht="13" x14ac:dyDescent="0.15">
      <c r="A280" s="2" t="s">
        <v>158</v>
      </c>
      <c r="B280" s="15">
        <v>31</v>
      </c>
      <c r="C280" s="15">
        <f>IF(Form_Responses1[[#This Row],[gioi_tinh]]="Nữ", 0, 1)</f>
        <v>1</v>
      </c>
      <c r="D280" s="2" t="s">
        <v>26</v>
      </c>
      <c r="E280" s="15">
        <v>19.5</v>
      </c>
      <c r="F280" s="15">
        <f>IF(Form_Responses1[[#This Row],[dai_thao_duong]]="Không", 0, 1)</f>
        <v>0</v>
      </c>
      <c r="G280" s="2" t="s">
        <v>21</v>
      </c>
      <c r="H280" s="15">
        <f t="shared" si="8"/>
        <v>0</v>
      </c>
      <c r="I280" s="2" t="s">
        <v>21</v>
      </c>
      <c r="J280" s="15">
        <f>IF(Form_Responses1[[#This Row],[hoi_chung_vanh_man]]="Không", 0, 1)</f>
        <v>0</v>
      </c>
      <c r="K280" s="2" t="s">
        <v>21</v>
      </c>
      <c r="L280" s="15">
        <f>IF(Form_Responses1[[#This Row],[ckd]]="Không", 0, 1)</f>
        <v>0</v>
      </c>
      <c r="M280" s="2" t="s">
        <v>21</v>
      </c>
      <c r="N280" s="15">
        <f t="shared" si="9"/>
        <v>0</v>
      </c>
      <c r="O280" s="2" t="s">
        <v>21</v>
      </c>
      <c r="P280" s="15">
        <f>IF(Form_Responses1[[#This Row],[phan_loai_the_lam_sang]]="Suy tim mất bù cấp", 1,0)</f>
        <v>1</v>
      </c>
      <c r="Q280" s="15">
        <f>IF(Form_Responses1[[#This Row],[phan_loai_the_lam_sang]]="Phù phổi cấp", 1, 0)</f>
        <v>0</v>
      </c>
      <c r="R280" s="15">
        <f>IF(Form_Responses1[[#This Row],[phan_loai_the_lam_sang]]="Choáng tim", 1, 0)</f>
        <v>0</v>
      </c>
      <c r="S280" s="2" t="s">
        <v>23</v>
      </c>
      <c r="T280" s="15">
        <v>106</v>
      </c>
      <c r="U280" s="15">
        <v>90</v>
      </c>
      <c r="V280" s="15">
        <v>60</v>
      </c>
      <c r="W280" s="15">
        <f>IF(Form_Responses1[[#This Row],[hcvc]]="Không", 0, 1)</f>
        <v>0</v>
      </c>
      <c r="X280" s="2" t="s">
        <v>21</v>
      </c>
      <c r="Y280" s="15">
        <f>IF(Form_Responses1[[#This Row],[suy_ho_hap]]="Không", 0, 1)</f>
        <v>1</v>
      </c>
      <c r="Z280" s="2" t="s">
        <v>22</v>
      </c>
      <c r="AA280" s="15">
        <f>IF(Form_Responses1[[#This Row],[rung_nhi]]="Không", 0, 1)</f>
        <v>0</v>
      </c>
      <c r="AB280" s="2" t="s">
        <v>21</v>
      </c>
      <c r="AC280" s="15">
        <v>457</v>
      </c>
      <c r="AD280" s="15">
        <v>0.08</v>
      </c>
      <c r="AE280" s="15">
        <v>9.1999999999999993</v>
      </c>
      <c r="AF280" s="15">
        <v>139</v>
      </c>
      <c r="AG280" s="27">
        <v>453</v>
      </c>
      <c r="AH280" s="15">
        <v>133</v>
      </c>
      <c r="AI280" s="15">
        <v>2.7</v>
      </c>
      <c r="AJ280" s="15">
        <v>13</v>
      </c>
      <c r="AK280" s="15">
        <v>0.73</v>
      </c>
      <c r="AL280" s="2" t="s">
        <v>21</v>
      </c>
      <c r="AM280" s="2">
        <v>4967.6000000000004</v>
      </c>
      <c r="AN280" s="6">
        <f>IF(Form_Responses1[[#This Row],[NT_proBNP &gt; 35000]]="Có", 35001, Form_Responses1[[#This Row],[NT_ProBNP]])</f>
        <v>4967.6000000000004</v>
      </c>
      <c r="AO280" s="15">
        <f>IF(Form_Responses1[[#This Row],[NT_proBNP &gt; 35000]]="Có", 1, 0)</f>
        <v>0</v>
      </c>
      <c r="AP280" s="15">
        <v>41.2</v>
      </c>
      <c r="AQ280" s="15">
        <v>19</v>
      </c>
      <c r="AR280" s="15">
        <v>12</v>
      </c>
      <c r="AS280" s="18">
        <v>94</v>
      </c>
      <c r="AT280" s="18"/>
      <c r="AU280" s="15">
        <v>72</v>
      </c>
      <c r="AV280" s="15">
        <v>79</v>
      </c>
      <c r="AW280" s="15">
        <v>20</v>
      </c>
      <c r="AX280" s="15">
        <v>60</v>
      </c>
      <c r="AY280" s="22">
        <f>IF(Form_Responses1[[#This Row],[ket_cuc]]="Không tử vong", 0, 1)</f>
        <v>0</v>
      </c>
      <c r="AZ280" s="2" t="s">
        <v>24</v>
      </c>
      <c r="BA280" s="32">
        <v>43</v>
      </c>
      <c r="BB280" s="32">
        <v>3.5060170634380598E-2</v>
      </c>
    </row>
    <row r="281" spans="1:54" ht="13" x14ac:dyDescent="0.15">
      <c r="A281" s="6" t="s">
        <v>238</v>
      </c>
      <c r="B281" s="6">
        <v>42</v>
      </c>
      <c r="C281" s="6">
        <f>IF(Form_Responses1[[#This Row],[gioi_tinh]]="Nữ", 0, 1)</f>
        <v>1</v>
      </c>
      <c r="D281" s="6" t="s">
        <v>26</v>
      </c>
      <c r="E281" s="6">
        <v>24.5</v>
      </c>
      <c r="F281" s="6">
        <f>IF(Form_Responses1[[#This Row],[dai_thao_duong]]="Không", 0, 1)</f>
        <v>1</v>
      </c>
      <c r="G281" s="6" t="s">
        <v>22</v>
      </c>
      <c r="H281" s="6">
        <f t="shared" si="8"/>
        <v>1</v>
      </c>
      <c r="I281" s="6" t="s">
        <v>22</v>
      </c>
      <c r="J281" s="6">
        <f>IF(Form_Responses1[[#This Row],[hoi_chung_vanh_man]]="Không", 0, 1)</f>
        <v>0</v>
      </c>
      <c r="K281" s="6" t="s">
        <v>21</v>
      </c>
      <c r="L281" s="6">
        <f>IF(Form_Responses1[[#This Row],[ckd]]="Không", 0, 1)</f>
        <v>0</v>
      </c>
      <c r="M281" s="6" t="s">
        <v>21</v>
      </c>
      <c r="N281" s="6">
        <f t="shared" si="9"/>
        <v>0</v>
      </c>
      <c r="O281" s="6" t="s">
        <v>21</v>
      </c>
      <c r="P281" s="6">
        <f>IF(Form_Responses1[[#This Row],[phan_loai_the_lam_sang]]="Suy tim mất bù cấp", 1,0)</f>
        <v>0</v>
      </c>
      <c r="Q281" s="6">
        <f>IF(Form_Responses1[[#This Row],[phan_loai_the_lam_sang]]="Phù phổi cấp", 1, 0)</f>
        <v>1</v>
      </c>
      <c r="R281" s="6">
        <f>IF(Form_Responses1[[#This Row],[phan_loai_the_lam_sang]]="Choáng tim", 1, 0)</f>
        <v>0</v>
      </c>
      <c r="S281" s="6" t="s">
        <v>45</v>
      </c>
      <c r="T281" s="6">
        <v>130</v>
      </c>
      <c r="U281" s="6">
        <v>120</v>
      </c>
      <c r="V281" s="6">
        <v>90</v>
      </c>
      <c r="W281" s="6">
        <f>IF(Form_Responses1[[#This Row],[hcvc]]="Không", 0, 1)</f>
        <v>1</v>
      </c>
      <c r="X281" s="6" t="s">
        <v>22</v>
      </c>
      <c r="Y281" s="6">
        <f>IF(Form_Responses1[[#This Row],[suy_ho_hap]]="Không", 0, 1)</f>
        <v>1</v>
      </c>
      <c r="Z281" s="6" t="s">
        <v>22</v>
      </c>
      <c r="AA281" s="6">
        <f>IF(Form_Responses1[[#This Row],[rung_nhi]]="Không", 0, 1)</f>
        <v>0</v>
      </c>
      <c r="AB281" s="6" t="s">
        <v>21</v>
      </c>
      <c r="AC281" s="6">
        <v>404</v>
      </c>
      <c r="AD281" s="6">
        <v>0.08</v>
      </c>
      <c r="AE281" s="6">
        <v>6.15</v>
      </c>
      <c r="AF281" s="6">
        <v>145</v>
      </c>
      <c r="AG281" s="6">
        <v>239</v>
      </c>
      <c r="AH281" s="6">
        <v>126</v>
      </c>
      <c r="AI281" s="6">
        <v>4.3</v>
      </c>
      <c r="AJ281" s="6">
        <v>5.0999999999999996</v>
      </c>
      <c r="AK281" s="6">
        <v>0.96</v>
      </c>
      <c r="AL281" s="6" t="s">
        <v>21</v>
      </c>
      <c r="AM281" s="6">
        <v>1206.1500000000001</v>
      </c>
      <c r="AN281" s="6">
        <f>IF(Form_Responses1[[#This Row],[NT_proBNP &gt; 35000]]="Có", 35001, Form_Responses1[[#This Row],[NT_ProBNP]])</f>
        <v>1206.1500000000001</v>
      </c>
      <c r="AO281" s="6">
        <f>IF(Form_Responses1[[#This Row],[NT_proBNP &gt; 35000]]="Có", 1, 0)</f>
        <v>0</v>
      </c>
      <c r="AP281" s="6">
        <v>57.74</v>
      </c>
      <c r="AQ281" s="5">
        <v>34</v>
      </c>
      <c r="AR281" s="5">
        <v>55</v>
      </c>
      <c r="AS281" s="6">
        <v>478</v>
      </c>
      <c r="AT281" s="6">
        <v>43</v>
      </c>
      <c r="AU281" s="6">
        <v>54</v>
      </c>
      <c r="AV281" s="6">
        <v>59</v>
      </c>
      <c r="AW281" s="6">
        <v>20</v>
      </c>
      <c r="AY281" s="25">
        <f>IF(Form_Responses1[[#This Row],[ket_cuc]]="Không tử vong", 0, 1)</f>
        <v>0</v>
      </c>
      <c r="AZ281" s="6" t="s">
        <v>24</v>
      </c>
      <c r="BA281" s="32">
        <v>38</v>
      </c>
      <c r="BB281" s="32">
        <v>3.1453689773247646E-2</v>
      </c>
    </row>
    <row r="282" spans="1:54" s="5" customFormat="1" ht="13" x14ac:dyDescent="0.15">
      <c r="A282" s="2" t="s">
        <v>291</v>
      </c>
      <c r="B282" s="15">
        <v>84</v>
      </c>
      <c r="C282" s="15">
        <f>IF(Form_Responses1[[#This Row],[gioi_tinh]]="Nữ", 0, 1)</f>
        <v>1</v>
      </c>
      <c r="D282" s="2" t="s">
        <v>26</v>
      </c>
      <c r="E282" s="15">
        <v>20.8</v>
      </c>
      <c r="F282" s="15">
        <f>IF(Form_Responses1[[#This Row],[dai_thao_duong]]="Không", 0, 1)</f>
        <v>0</v>
      </c>
      <c r="G282" s="2" t="s">
        <v>21</v>
      </c>
      <c r="H282" s="15">
        <f t="shared" si="8"/>
        <v>1</v>
      </c>
      <c r="I282" s="2" t="s">
        <v>22</v>
      </c>
      <c r="J282" s="15">
        <f>IF(Form_Responses1[[#This Row],[hoi_chung_vanh_man]]="Không", 0, 1)</f>
        <v>1</v>
      </c>
      <c r="K282" s="2" t="s">
        <v>22</v>
      </c>
      <c r="L282" s="15">
        <f>IF(Form_Responses1[[#This Row],[ckd]]="Không", 0, 1)</f>
        <v>0</v>
      </c>
      <c r="M282" s="2" t="s">
        <v>21</v>
      </c>
      <c r="N282" s="15">
        <f t="shared" si="9"/>
        <v>0</v>
      </c>
      <c r="O282" s="2" t="s">
        <v>21</v>
      </c>
      <c r="P282" s="15">
        <f>IF(Form_Responses1[[#This Row],[phan_loai_the_lam_sang]]="Suy tim mất bù cấp", 1,0)</f>
        <v>1</v>
      </c>
      <c r="Q282" s="15">
        <f>IF(Form_Responses1[[#This Row],[phan_loai_the_lam_sang]]="Phù phổi cấp", 1, 0)</f>
        <v>0</v>
      </c>
      <c r="R282" s="15">
        <f>IF(Form_Responses1[[#This Row],[phan_loai_the_lam_sang]]="Choáng tim", 1, 0)</f>
        <v>0</v>
      </c>
      <c r="S282" s="2" t="s">
        <v>23</v>
      </c>
      <c r="T282" s="15">
        <v>126</v>
      </c>
      <c r="U282" s="15">
        <v>160</v>
      </c>
      <c r="V282" s="15">
        <v>100</v>
      </c>
      <c r="W282" s="15">
        <f>IF(Form_Responses1[[#This Row],[hcvc]]="Không", 0, 1)</f>
        <v>0</v>
      </c>
      <c r="X282" s="2" t="s">
        <v>21</v>
      </c>
      <c r="Y282" s="15">
        <f>IF(Form_Responses1[[#This Row],[suy_ho_hap]]="Không", 0, 1)</f>
        <v>0</v>
      </c>
      <c r="Z282" s="2" t="s">
        <v>21</v>
      </c>
      <c r="AA282" s="15">
        <f>IF(Form_Responses1[[#This Row],[rung_nhi]]="Không", 0, 1)</f>
        <v>0</v>
      </c>
      <c r="AB282" s="2" t="s">
        <v>21</v>
      </c>
      <c r="AC282" s="15">
        <v>476</v>
      </c>
      <c r="AD282" s="15">
        <v>0.08</v>
      </c>
      <c r="AE282" s="15">
        <v>10.41</v>
      </c>
      <c r="AF282" s="15">
        <v>131</v>
      </c>
      <c r="AG282" s="15">
        <v>150</v>
      </c>
      <c r="AH282" s="15">
        <v>137</v>
      </c>
      <c r="AI282" s="15">
        <v>3</v>
      </c>
      <c r="AJ282" s="15">
        <v>17</v>
      </c>
      <c r="AK282" s="15">
        <v>0.79</v>
      </c>
      <c r="AL282" s="2" t="s">
        <v>21</v>
      </c>
      <c r="AM282" s="2">
        <v>24138.3</v>
      </c>
      <c r="AN282" s="6">
        <f>IF(Form_Responses1[[#This Row],[NT_proBNP &gt; 35000]]="Có", 35001, Form_Responses1[[#This Row],[NT_ProBNP]])</f>
        <v>24138.3</v>
      </c>
      <c r="AO282" s="27">
        <f>IF(Form_Responses1[[#This Row],[NT_proBNP &gt; 35000]]="Có", 1, 0)</f>
        <v>0</v>
      </c>
      <c r="AP282" s="27">
        <v>68.83</v>
      </c>
      <c r="AQ282" s="15">
        <v>215</v>
      </c>
      <c r="AR282" s="15">
        <v>623</v>
      </c>
      <c r="AS282" s="15">
        <v>108</v>
      </c>
      <c r="AT282" s="15">
        <v>35.799999999999997</v>
      </c>
      <c r="AU282" s="15">
        <v>45.1</v>
      </c>
      <c r="AV282" s="15">
        <v>50.4</v>
      </c>
      <c r="AW282" s="15">
        <v>20</v>
      </c>
      <c r="AX282" s="15">
        <v>38</v>
      </c>
      <c r="AY282" s="22">
        <f>IF(Form_Responses1[[#This Row],[ket_cuc]]="Không tử vong", 0, 1)</f>
        <v>0</v>
      </c>
      <c r="AZ282" s="2" t="s">
        <v>24</v>
      </c>
      <c r="BA282" s="32">
        <v>41</v>
      </c>
      <c r="BB282" s="32">
        <v>9.8873891317632495E-2</v>
      </c>
    </row>
    <row r="283" spans="1:54" ht="13" x14ac:dyDescent="0.15">
      <c r="A283" s="1" t="s">
        <v>292</v>
      </c>
      <c r="B283" s="6">
        <v>77</v>
      </c>
      <c r="C283" s="6">
        <f>IF(Form_Responses1[[#This Row],[gioi_tinh]]="Nữ", 0, 1)</f>
        <v>0</v>
      </c>
      <c r="D283" s="1" t="s">
        <v>20</v>
      </c>
      <c r="E283" s="6">
        <v>31.3</v>
      </c>
      <c r="F283" s="6">
        <f>IF(Form_Responses1[[#This Row],[dai_thao_duong]]="Không", 0, 1)</f>
        <v>1</v>
      </c>
      <c r="G283" s="1" t="s">
        <v>22</v>
      </c>
      <c r="H283" s="6">
        <f t="shared" si="8"/>
        <v>1</v>
      </c>
      <c r="I283" s="1" t="s">
        <v>22</v>
      </c>
      <c r="J283" s="6">
        <f>IF(Form_Responses1[[#This Row],[hoi_chung_vanh_man]]="Không", 0, 1)</f>
        <v>1</v>
      </c>
      <c r="K283" s="1" t="s">
        <v>22</v>
      </c>
      <c r="L283" s="6">
        <f>IF(Form_Responses1[[#This Row],[ckd]]="Không", 0, 1)</f>
        <v>0</v>
      </c>
      <c r="M283" s="1" t="s">
        <v>21</v>
      </c>
      <c r="N283" s="6">
        <f t="shared" si="9"/>
        <v>0</v>
      </c>
      <c r="O283" s="1" t="s">
        <v>21</v>
      </c>
      <c r="P283" s="6">
        <f>IF(Form_Responses1[[#This Row],[phan_loai_the_lam_sang]]="Suy tim mất bù cấp", 1,0)</f>
        <v>0</v>
      </c>
      <c r="Q283" s="6">
        <f>IF(Form_Responses1[[#This Row],[phan_loai_the_lam_sang]]="Phù phổi cấp", 1, 0)</f>
        <v>1</v>
      </c>
      <c r="R283" s="6">
        <f>IF(Form_Responses1[[#This Row],[phan_loai_the_lam_sang]]="Choáng tim", 1, 0)</f>
        <v>0</v>
      </c>
      <c r="S283" s="1" t="s">
        <v>45</v>
      </c>
      <c r="T283" s="6">
        <v>100</v>
      </c>
      <c r="U283" s="6">
        <v>150</v>
      </c>
      <c r="V283" s="6">
        <v>80</v>
      </c>
      <c r="W283" s="6">
        <f>IF(Form_Responses1[[#This Row],[hcvc]]="Không", 0, 1)</f>
        <v>0</v>
      </c>
      <c r="X283" s="1" t="s">
        <v>21</v>
      </c>
      <c r="Y283" s="6">
        <f>IF(Form_Responses1[[#This Row],[suy_ho_hap]]="Không", 0, 1)</f>
        <v>1</v>
      </c>
      <c r="Z283" s="1" t="s">
        <v>22</v>
      </c>
      <c r="AA283" s="6">
        <f>IF(Form_Responses1[[#This Row],[rung_nhi]]="Không", 0, 1)</f>
        <v>0</v>
      </c>
      <c r="AB283" s="1" t="s">
        <v>21</v>
      </c>
      <c r="AC283" s="6">
        <v>535</v>
      </c>
      <c r="AD283" s="6">
        <v>0.08</v>
      </c>
      <c r="AE283" s="6">
        <v>8.9499999999999993</v>
      </c>
      <c r="AF283" s="6">
        <v>85</v>
      </c>
      <c r="AG283" s="6">
        <v>147</v>
      </c>
      <c r="AH283" s="6">
        <v>132</v>
      </c>
      <c r="AI283" s="6">
        <v>3.5</v>
      </c>
      <c r="AJ283" s="6">
        <v>27</v>
      </c>
      <c r="AK283" s="6">
        <v>1.02</v>
      </c>
      <c r="AL283" s="1" t="s">
        <v>21</v>
      </c>
      <c r="AM283" s="1">
        <v>2808.7</v>
      </c>
      <c r="AN283" s="6">
        <f>IF(Form_Responses1[[#This Row],[NT_proBNP &gt; 35000]]="Có", 35001, Form_Responses1[[#This Row],[NT_ProBNP]])</f>
        <v>2808.7</v>
      </c>
      <c r="AO283" s="6">
        <f>IF(Form_Responses1[[#This Row],[NT_proBNP &gt; 35000]]="Có", 1, 0)</f>
        <v>0</v>
      </c>
      <c r="AP283" s="6">
        <v>79.91</v>
      </c>
      <c r="AQ283" s="6">
        <v>37</v>
      </c>
      <c r="AR283" s="6">
        <v>25</v>
      </c>
      <c r="AS283" s="6">
        <v>289</v>
      </c>
      <c r="AT283" s="6">
        <v>35</v>
      </c>
      <c r="AU283" s="6">
        <v>60</v>
      </c>
      <c r="AV283" s="6">
        <v>68</v>
      </c>
      <c r="AW283" s="6">
        <v>20</v>
      </c>
      <c r="AX283" s="27">
        <v>62</v>
      </c>
      <c r="AY283" s="29">
        <f>IF(Form_Responses1[[#This Row],[ket_cuc]]="Không tử vong", 0, 1)</f>
        <v>0</v>
      </c>
      <c r="AZ283" s="1" t="s">
        <v>24</v>
      </c>
      <c r="BA283" s="32">
        <v>42</v>
      </c>
      <c r="BB283" s="32">
        <v>0.1037718753816451</v>
      </c>
    </row>
    <row r="284" spans="1:54" ht="13" x14ac:dyDescent="0.15">
      <c r="A284" s="2" t="s">
        <v>219</v>
      </c>
      <c r="B284" s="15">
        <v>69</v>
      </c>
      <c r="C284" s="15">
        <f>IF(Form_Responses1[[#This Row],[gioi_tinh]]="Nữ", 0, 1)</f>
        <v>0</v>
      </c>
      <c r="D284" s="2" t="s">
        <v>20</v>
      </c>
      <c r="E284" s="15">
        <v>25.5</v>
      </c>
      <c r="F284" s="15">
        <f>IF(Form_Responses1[[#This Row],[dai_thao_duong]]="Không", 0, 1)</f>
        <v>0</v>
      </c>
      <c r="G284" s="2" t="s">
        <v>21</v>
      </c>
      <c r="H284" s="15">
        <f t="shared" si="8"/>
        <v>1</v>
      </c>
      <c r="I284" s="2" t="s">
        <v>22</v>
      </c>
      <c r="J284" s="15">
        <f>IF(Form_Responses1[[#This Row],[hoi_chung_vanh_man]]="Không", 0, 1)</f>
        <v>0</v>
      </c>
      <c r="K284" s="2" t="s">
        <v>21</v>
      </c>
      <c r="L284" s="15">
        <f>IF(Form_Responses1[[#This Row],[ckd]]="Không", 0, 1)</f>
        <v>0</v>
      </c>
      <c r="M284" s="2" t="s">
        <v>21</v>
      </c>
      <c r="N284" s="15">
        <f t="shared" si="9"/>
        <v>0</v>
      </c>
      <c r="O284" s="2" t="s">
        <v>21</v>
      </c>
      <c r="P284" s="15">
        <f>IF(Form_Responses1[[#This Row],[phan_loai_the_lam_sang]]="Suy tim mất bù cấp", 1,0)</f>
        <v>0</v>
      </c>
      <c r="Q284" s="15">
        <f>IF(Form_Responses1[[#This Row],[phan_loai_the_lam_sang]]="Phù phổi cấp", 1, 0)</f>
        <v>1</v>
      </c>
      <c r="R284" s="15">
        <f>IF(Form_Responses1[[#This Row],[phan_loai_the_lam_sang]]="Choáng tim", 1, 0)</f>
        <v>0</v>
      </c>
      <c r="S284" s="2" t="s">
        <v>45</v>
      </c>
      <c r="T284" s="15">
        <v>57</v>
      </c>
      <c r="U284" s="15">
        <v>90</v>
      </c>
      <c r="V284" s="15">
        <v>60</v>
      </c>
      <c r="W284" s="15">
        <f>IF(Form_Responses1[[#This Row],[hcvc]]="Không", 0, 1)</f>
        <v>0</v>
      </c>
      <c r="X284" s="2" t="s">
        <v>21</v>
      </c>
      <c r="Y284" s="15">
        <f>IF(Form_Responses1[[#This Row],[suy_ho_hap]]="Không", 0, 1)</f>
        <v>1</v>
      </c>
      <c r="Z284" s="2" t="s">
        <v>22</v>
      </c>
      <c r="AA284" s="15">
        <f>IF(Form_Responses1[[#This Row],[rung_nhi]]="Không", 0, 1)</f>
        <v>0</v>
      </c>
      <c r="AB284" s="2" t="s">
        <v>21</v>
      </c>
      <c r="AC284" s="15">
        <v>452</v>
      </c>
      <c r="AD284" s="15">
        <v>0.08</v>
      </c>
      <c r="AE284" s="15">
        <v>8.42</v>
      </c>
      <c r="AF284" s="15">
        <v>103</v>
      </c>
      <c r="AG284" s="15">
        <v>159</v>
      </c>
      <c r="AH284" s="15">
        <v>136</v>
      </c>
      <c r="AI284" s="15">
        <v>3.1</v>
      </c>
      <c r="AJ284" s="15">
        <v>18</v>
      </c>
      <c r="AK284" s="15">
        <v>0.74</v>
      </c>
      <c r="AL284" s="2" t="s">
        <v>21</v>
      </c>
      <c r="AM284" s="2">
        <v>8872</v>
      </c>
      <c r="AN284" s="6">
        <f>IF(Form_Responses1[[#This Row],[NT_proBNP &gt; 35000]]="Có", 35001, Form_Responses1[[#This Row],[NT_ProBNP]])</f>
        <v>8872</v>
      </c>
      <c r="AO284" s="15">
        <f>IF(Form_Responses1[[#This Row],[NT_proBNP &gt; 35000]]="Có", 1, 0)</f>
        <v>0</v>
      </c>
      <c r="AP284" s="15">
        <v>85.2</v>
      </c>
      <c r="AQ284" s="15">
        <v>36</v>
      </c>
      <c r="AR284" s="15">
        <v>29</v>
      </c>
      <c r="AS284" s="15">
        <v>198</v>
      </c>
      <c r="AT284" s="18"/>
      <c r="AU284" s="15">
        <v>35.799999999999997</v>
      </c>
      <c r="AV284" s="15">
        <v>40.4</v>
      </c>
      <c r="AW284" s="15">
        <v>20</v>
      </c>
      <c r="AX284" s="18"/>
      <c r="AY284" s="26">
        <f>IF(Form_Responses1[[#This Row],[ket_cuc]]="Không tử vong", 0, 1)</f>
        <v>0</v>
      </c>
      <c r="AZ284" s="2" t="s">
        <v>24</v>
      </c>
      <c r="BA284" s="32">
        <v>42</v>
      </c>
      <c r="BB284" s="32">
        <v>5.9720602562608693E-2</v>
      </c>
    </row>
    <row r="285" spans="1:54" ht="13" x14ac:dyDescent="0.15">
      <c r="A285" s="1" t="s">
        <v>198</v>
      </c>
      <c r="B285" s="6">
        <v>60</v>
      </c>
      <c r="C285" s="6">
        <f>IF(Form_Responses1[[#This Row],[gioi_tinh]]="Nữ", 0, 1)</f>
        <v>0</v>
      </c>
      <c r="D285" s="1" t="s">
        <v>20</v>
      </c>
      <c r="E285" s="6">
        <v>21.6</v>
      </c>
      <c r="F285" s="6">
        <f>IF(Form_Responses1[[#This Row],[dai_thao_duong]]="Không", 0, 1)</f>
        <v>0</v>
      </c>
      <c r="G285" s="1" t="s">
        <v>21</v>
      </c>
      <c r="H285" s="6">
        <f t="shared" si="8"/>
        <v>1</v>
      </c>
      <c r="I285" s="1" t="s">
        <v>22</v>
      </c>
      <c r="J285" s="6">
        <f>IF(Form_Responses1[[#This Row],[hoi_chung_vanh_man]]="Không", 0, 1)</f>
        <v>0</v>
      </c>
      <c r="K285" s="1" t="s">
        <v>21</v>
      </c>
      <c r="L285" s="6">
        <f>IF(Form_Responses1[[#This Row],[ckd]]="Không", 0, 1)</f>
        <v>0</v>
      </c>
      <c r="M285" s="1" t="s">
        <v>21</v>
      </c>
      <c r="N285" s="6">
        <f t="shared" si="9"/>
        <v>0</v>
      </c>
      <c r="O285" s="1" t="s">
        <v>21</v>
      </c>
      <c r="P285" s="6">
        <f>IF(Form_Responses1[[#This Row],[phan_loai_the_lam_sang]]="Suy tim mất bù cấp", 1,0)</f>
        <v>1</v>
      </c>
      <c r="Q285" s="6">
        <f>IF(Form_Responses1[[#This Row],[phan_loai_the_lam_sang]]="Phù phổi cấp", 1, 0)</f>
        <v>0</v>
      </c>
      <c r="R285" s="6">
        <f>IF(Form_Responses1[[#This Row],[phan_loai_the_lam_sang]]="Choáng tim", 1, 0)</f>
        <v>0</v>
      </c>
      <c r="S285" s="1" t="s">
        <v>23</v>
      </c>
      <c r="T285" s="6">
        <v>112</v>
      </c>
      <c r="U285" s="6">
        <v>100</v>
      </c>
      <c r="V285" s="6">
        <v>60</v>
      </c>
      <c r="W285" s="6">
        <f>IF(Form_Responses1[[#This Row],[hcvc]]="Không", 0, 1)</f>
        <v>0</v>
      </c>
      <c r="X285" s="1" t="s">
        <v>21</v>
      </c>
      <c r="Y285" s="6">
        <f>IF(Form_Responses1[[#This Row],[suy_ho_hap]]="Không", 0, 1)</f>
        <v>0</v>
      </c>
      <c r="Z285" s="1" t="s">
        <v>21</v>
      </c>
      <c r="AA285" s="6">
        <f>IF(Form_Responses1[[#This Row],[rung_nhi]]="Không", 0, 1)</f>
        <v>1</v>
      </c>
      <c r="AB285" s="1" t="s">
        <v>22</v>
      </c>
      <c r="AC285" s="6">
        <v>386</v>
      </c>
      <c r="AD285" s="6">
        <v>0.08</v>
      </c>
      <c r="AE285" s="6">
        <v>8.4</v>
      </c>
      <c r="AF285" s="6">
        <v>115</v>
      </c>
      <c r="AG285" s="6">
        <v>283</v>
      </c>
      <c r="AH285" s="6">
        <v>119</v>
      </c>
      <c r="AI285" s="6">
        <v>4.0999999999999996</v>
      </c>
      <c r="AJ285" s="6">
        <v>32</v>
      </c>
      <c r="AK285" s="6">
        <v>1.71</v>
      </c>
      <c r="AL285" s="1" t="s">
        <v>21</v>
      </c>
      <c r="AM285" s="1">
        <v>12555.2</v>
      </c>
      <c r="AN285" s="6">
        <f>IF(Form_Responses1[[#This Row],[NT_proBNP &gt; 35000]]="Có", 35001, Form_Responses1[[#This Row],[NT_ProBNP]])</f>
        <v>12555.2</v>
      </c>
      <c r="AO285" s="6">
        <f>IF(Form_Responses1[[#This Row],[NT_proBNP &gt; 35000]]="Có", 1, 0)</f>
        <v>0</v>
      </c>
      <c r="AP285" s="6">
        <v>110.8</v>
      </c>
      <c r="AQ285" s="27">
        <v>78</v>
      </c>
      <c r="AR285" s="27">
        <v>20</v>
      </c>
      <c r="AS285" s="6">
        <v>115</v>
      </c>
      <c r="AT285" s="6">
        <v>48</v>
      </c>
      <c r="AU285" s="6">
        <v>54</v>
      </c>
      <c r="AV285" s="6">
        <v>60</v>
      </c>
      <c r="AW285" s="6">
        <v>20</v>
      </c>
      <c r="AX285" s="6">
        <v>58</v>
      </c>
      <c r="AY285" s="24">
        <f>IF(Form_Responses1[[#This Row],[ket_cuc]]="Không tử vong", 0, 1)</f>
        <v>0</v>
      </c>
      <c r="AZ285" s="1" t="s">
        <v>24</v>
      </c>
      <c r="BA285" s="32">
        <v>54</v>
      </c>
      <c r="BB285" s="32">
        <v>0.11937101413728161</v>
      </c>
    </row>
    <row r="286" spans="1:54" s="5" customFormat="1" ht="13" x14ac:dyDescent="0.15">
      <c r="A286" s="2" t="s">
        <v>68</v>
      </c>
      <c r="B286" s="15">
        <v>58</v>
      </c>
      <c r="C286" s="15">
        <f>IF(Form_Responses1[[#This Row],[gioi_tinh]]="Nữ", 0, 1)</f>
        <v>1</v>
      </c>
      <c r="D286" s="2" t="s">
        <v>26</v>
      </c>
      <c r="E286" s="15">
        <v>17.600000000000001</v>
      </c>
      <c r="F286" s="15">
        <f>IF(Form_Responses1[[#This Row],[dai_thao_duong]]="Không", 0, 1)</f>
        <v>0</v>
      </c>
      <c r="G286" s="2" t="s">
        <v>21</v>
      </c>
      <c r="H286" s="15">
        <f t="shared" si="8"/>
        <v>1</v>
      </c>
      <c r="I286" s="2" t="s">
        <v>22</v>
      </c>
      <c r="J286" s="15">
        <f>IF(Form_Responses1[[#This Row],[hoi_chung_vanh_man]]="Không", 0, 1)</f>
        <v>0</v>
      </c>
      <c r="K286" s="2" t="s">
        <v>21</v>
      </c>
      <c r="L286" s="15">
        <f>IF(Form_Responses1[[#This Row],[ckd]]="Không", 0, 1)</f>
        <v>0</v>
      </c>
      <c r="M286" s="2" t="s">
        <v>21</v>
      </c>
      <c r="N286" s="15">
        <f t="shared" si="9"/>
        <v>0</v>
      </c>
      <c r="O286" s="2" t="s">
        <v>21</v>
      </c>
      <c r="P286" s="15">
        <f>IF(Form_Responses1[[#This Row],[phan_loai_the_lam_sang]]="Suy tim mất bù cấp", 1,0)</f>
        <v>1</v>
      </c>
      <c r="Q286" s="15">
        <f>IF(Form_Responses1[[#This Row],[phan_loai_the_lam_sang]]="Phù phổi cấp", 1, 0)</f>
        <v>0</v>
      </c>
      <c r="R286" s="15">
        <f>IF(Form_Responses1[[#This Row],[phan_loai_the_lam_sang]]="Choáng tim", 1, 0)</f>
        <v>0</v>
      </c>
      <c r="S286" s="2" t="s">
        <v>23</v>
      </c>
      <c r="T286" s="15">
        <v>72</v>
      </c>
      <c r="U286" s="15">
        <v>130</v>
      </c>
      <c r="V286" s="15">
        <v>90</v>
      </c>
      <c r="W286" s="15">
        <f>IF(Form_Responses1[[#This Row],[hcvc]]="Không", 0, 1)</f>
        <v>0</v>
      </c>
      <c r="X286" s="2" t="s">
        <v>21</v>
      </c>
      <c r="Y286" s="15">
        <f>IF(Form_Responses1[[#This Row],[suy_ho_hap]]="Không", 0, 1)</f>
        <v>1</v>
      </c>
      <c r="Z286" s="2" t="s">
        <v>22</v>
      </c>
      <c r="AA286" s="15">
        <f>IF(Form_Responses1[[#This Row],[rung_nhi]]="Không", 0, 1)</f>
        <v>0</v>
      </c>
      <c r="AB286" s="2" t="s">
        <v>21</v>
      </c>
      <c r="AC286" s="15">
        <v>423</v>
      </c>
      <c r="AD286" s="15">
        <v>0.06</v>
      </c>
      <c r="AE286" s="15">
        <v>9.7799999999999994</v>
      </c>
      <c r="AF286" s="15">
        <v>136</v>
      </c>
      <c r="AG286" s="15">
        <v>152</v>
      </c>
      <c r="AH286" s="15">
        <v>132</v>
      </c>
      <c r="AI286" s="15">
        <v>4.2</v>
      </c>
      <c r="AJ286" s="15">
        <v>42</v>
      </c>
      <c r="AK286" s="15">
        <v>2.76</v>
      </c>
      <c r="AL286" s="2" t="s">
        <v>21</v>
      </c>
      <c r="AM286" s="28">
        <v>14090</v>
      </c>
      <c r="AN286" s="6">
        <f>IF(Form_Responses1[[#This Row],[NT_proBNP &gt; 35000]]="Có", 35001, Form_Responses1[[#This Row],[NT_ProBNP]])</f>
        <v>14090</v>
      </c>
      <c r="AO286" s="27">
        <f>IF(Form_Responses1[[#This Row],[NT_proBNP &gt; 35000]]="Có", 1, 0)</f>
        <v>0</v>
      </c>
      <c r="AP286" s="15">
        <v>119.41</v>
      </c>
      <c r="AQ286" s="15">
        <v>435</v>
      </c>
      <c r="AR286" s="15">
        <v>350</v>
      </c>
      <c r="AS286" s="15">
        <v>151</v>
      </c>
      <c r="AT286" s="15">
        <v>26</v>
      </c>
      <c r="AU286" s="15">
        <v>47</v>
      </c>
      <c r="AV286" s="15">
        <v>55</v>
      </c>
      <c r="AW286" s="15">
        <v>20</v>
      </c>
      <c r="AX286" s="27">
        <v>40</v>
      </c>
      <c r="AY286" s="29">
        <f>IF(Form_Responses1[[#This Row],[ket_cuc]]="Không tử vong", 0, 1)</f>
        <v>0</v>
      </c>
      <c r="AZ286" s="2" t="s">
        <v>24</v>
      </c>
      <c r="BA286" s="32">
        <v>38</v>
      </c>
      <c r="BB286" s="32">
        <v>5.0020855629905193E-2</v>
      </c>
    </row>
    <row r="287" spans="1:54" ht="13" x14ac:dyDescent="0.15">
      <c r="A287" s="1" t="s">
        <v>55</v>
      </c>
      <c r="B287" s="6">
        <v>72</v>
      </c>
      <c r="C287" s="6">
        <f>IF(Form_Responses1[[#This Row],[gioi_tinh]]="Nữ", 0, 1)</f>
        <v>1</v>
      </c>
      <c r="D287" s="1" t="s">
        <v>26</v>
      </c>
      <c r="E287" s="6">
        <v>21.3</v>
      </c>
      <c r="F287" s="6">
        <f>IF(Form_Responses1[[#This Row],[dai_thao_duong]]="Không", 0, 1)</f>
        <v>1</v>
      </c>
      <c r="G287" s="1" t="s">
        <v>22</v>
      </c>
      <c r="H287" s="6">
        <f t="shared" si="8"/>
        <v>0</v>
      </c>
      <c r="I287" s="1" t="s">
        <v>21</v>
      </c>
      <c r="J287" s="6">
        <f>IF(Form_Responses1[[#This Row],[hoi_chung_vanh_man]]="Không", 0, 1)</f>
        <v>0</v>
      </c>
      <c r="K287" s="1" t="s">
        <v>21</v>
      </c>
      <c r="L287" s="6">
        <f>IF(Form_Responses1[[#This Row],[ckd]]="Không", 0, 1)</f>
        <v>0</v>
      </c>
      <c r="M287" s="1" t="s">
        <v>21</v>
      </c>
      <c r="N287" s="6">
        <f t="shared" si="9"/>
        <v>0</v>
      </c>
      <c r="O287" s="1" t="s">
        <v>21</v>
      </c>
      <c r="P287" s="6">
        <f>IF(Form_Responses1[[#This Row],[phan_loai_the_lam_sang]]="Suy tim mất bù cấp", 1,0)</f>
        <v>1</v>
      </c>
      <c r="Q287" s="6">
        <f>IF(Form_Responses1[[#This Row],[phan_loai_the_lam_sang]]="Phù phổi cấp", 1, 0)</f>
        <v>0</v>
      </c>
      <c r="R287" s="6">
        <f>IF(Form_Responses1[[#This Row],[phan_loai_the_lam_sang]]="Choáng tim", 1, 0)</f>
        <v>0</v>
      </c>
      <c r="S287" s="1" t="s">
        <v>23</v>
      </c>
      <c r="T287" s="6">
        <v>82</v>
      </c>
      <c r="U287" s="6">
        <v>130</v>
      </c>
      <c r="V287" s="6">
        <v>60</v>
      </c>
      <c r="W287" s="6">
        <f>IF(Form_Responses1[[#This Row],[hcvc]]="Không", 0, 1)</f>
        <v>0</v>
      </c>
      <c r="X287" s="1" t="s">
        <v>21</v>
      </c>
      <c r="Y287" s="6">
        <f>IF(Form_Responses1[[#This Row],[suy_ho_hap]]="Không", 0, 1)</f>
        <v>0</v>
      </c>
      <c r="Z287" s="1" t="s">
        <v>21</v>
      </c>
      <c r="AA287" s="6">
        <f>IF(Form_Responses1[[#This Row],[rung_nhi]]="Không", 0, 1)</f>
        <v>0</v>
      </c>
      <c r="AB287" s="1" t="s">
        <v>21</v>
      </c>
      <c r="AC287" s="6">
        <v>417</v>
      </c>
      <c r="AD287" s="6">
        <v>0.08</v>
      </c>
      <c r="AE287" s="6">
        <v>10.74</v>
      </c>
      <c r="AF287" s="6">
        <v>108</v>
      </c>
      <c r="AG287" s="6">
        <v>262</v>
      </c>
      <c r="AH287" s="6">
        <v>129</v>
      </c>
      <c r="AI287" s="6">
        <v>5</v>
      </c>
      <c r="AJ287" s="6">
        <v>24.3</v>
      </c>
      <c r="AK287" s="6">
        <v>2.08</v>
      </c>
      <c r="AL287" s="1" t="s">
        <v>21</v>
      </c>
      <c r="AM287" s="28">
        <v>8492.5</v>
      </c>
      <c r="AN287" s="6">
        <f>IF(Form_Responses1[[#This Row],[NT_proBNP &gt; 35000]]="Có", 35001, Form_Responses1[[#This Row],[NT_ProBNP]])</f>
        <v>8492.5</v>
      </c>
      <c r="AO287" s="27">
        <f>IF(Form_Responses1[[#This Row],[NT_proBNP &gt; 35000]]="Có", 1, 0)</f>
        <v>0</v>
      </c>
      <c r="AP287" s="6">
        <v>162.46</v>
      </c>
      <c r="AQ287" s="6">
        <v>23</v>
      </c>
      <c r="AR287" s="6">
        <v>16</v>
      </c>
      <c r="AS287" s="6">
        <v>428</v>
      </c>
      <c r="AU287" s="6">
        <v>53</v>
      </c>
      <c r="AV287" s="6">
        <v>61</v>
      </c>
      <c r="AW287" s="6">
        <v>20</v>
      </c>
      <c r="AX287" s="27">
        <v>25</v>
      </c>
      <c r="AY287" s="29">
        <f>IF(Form_Responses1[[#This Row],[ket_cuc]]="Không tử vong", 0, 1)</f>
        <v>0</v>
      </c>
      <c r="AZ287" s="1" t="s">
        <v>24</v>
      </c>
      <c r="BA287" s="32">
        <v>42</v>
      </c>
      <c r="BB287" s="32">
        <v>9.894162632593452E-2</v>
      </c>
    </row>
    <row r="288" spans="1:54" ht="13" x14ac:dyDescent="0.15">
      <c r="A288" s="2" t="s">
        <v>334</v>
      </c>
      <c r="B288" s="15">
        <v>45</v>
      </c>
      <c r="C288" s="15">
        <f>IF(Form_Responses1[[#This Row],[gioi_tinh]]="Nữ", 0, 1)</f>
        <v>1</v>
      </c>
      <c r="D288" s="2" t="s">
        <v>26</v>
      </c>
      <c r="E288" s="15">
        <v>21.3</v>
      </c>
      <c r="F288" s="15">
        <f>IF(Form_Responses1[[#This Row],[dai_thao_duong]]="Không", 0, 1)</f>
        <v>0</v>
      </c>
      <c r="G288" s="2" t="s">
        <v>21</v>
      </c>
      <c r="H288" s="15">
        <f t="shared" si="8"/>
        <v>0</v>
      </c>
      <c r="I288" s="2" t="s">
        <v>21</v>
      </c>
      <c r="J288" s="15">
        <f>IF(Form_Responses1[[#This Row],[hoi_chung_vanh_man]]="Không", 0, 1)</f>
        <v>0</v>
      </c>
      <c r="K288" s="2" t="s">
        <v>21</v>
      </c>
      <c r="L288" s="15">
        <f>IF(Form_Responses1[[#This Row],[ckd]]="Không", 0, 1)</f>
        <v>0</v>
      </c>
      <c r="M288" s="2" t="s">
        <v>21</v>
      </c>
      <c r="N288" s="15">
        <f t="shared" si="9"/>
        <v>0</v>
      </c>
      <c r="O288" s="2" t="s">
        <v>21</v>
      </c>
      <c r="P288" s="15">
        <f>IF(Form_Responses1[[#This Row],[phan_loai_the_lam_sang]]="Suy tim mất bù cấp", 1,0)</f>
        <v>0</v>
      </c>
      <c r="Q288" s="15">
        <f>IF(Form_Responses1[[#This Row],[phan_loai_the_lam_sang]]="Phù phổi cấp", 1, 0)</f>
        <v>1</v>
      </c>
      <c r="R288" s="15">
        <f>IF(Form_Responses1[[#This Row],[phan_loai_the_lam_sang]]="Choáng tim", 1, 0)</f>
        <v>0</v>
      </c>
      <c r="S288" s="2" t="s">
        <v>45</v>
      </c>
      <c r="T288" s="15">
        <v>88</v>
      </c>
      <c r="U288" s="15">
        <v>140</v>
      </c>
      <c r="V288" s="15">
        <v>80</v>
      </c>
      <c r="W288" s="15">
        <f>IF(Form_Responses1[[#This Row],[hcvc]]="Không", 0, 1)</f>
        <v>1</v>
      </c>
      <c r="X288" s="2" t="s">
        <v>22</v>
      </c>
      <c r="Y288" s="15">
        <f>IF(Form_Responses1[[#This Row],[suy_ho_hap]]="Không", 0, 1)</f>
        <v>1</v>
      </c>
      <c r="Z288" s="2" t="s">
        <v>22</v>
      </c>
      <c r="AA288" s="15">
        <f>IF(Form_Responses1[[#This Row],[rung_nhi]]="Không", 0, 1)</f>
        <v>0</v>
      </c>
      <c r="AB288" s="2" t="s">
        <v>21</v>
      </c>
      <c r="AC288" s="15">
        <v>471</v>
      </c>
      <c r="AD288" s="15">
        <v>0.05</v>
      </c>
      <c r="AE288" s="15">
        <v>17.28</v>
      </c>
      <c r="AF288" s="15">
        <v>154</v>
      </c>
      <c r="AG288" s="15">
        <v>287</v>
      </c>
      <c r="AH288" s="15">
        <v>134</v>
      </c>
      <c r="AI288" s="15">
        <v>3.4</v>
      </c>
      <c r="AJ288" s="15">
        <v>19</v>
      </c>
      <c r="AK288" s="15">
        <v>0.56000000000000005</v>
      </c>
      <c r="AL288" s="2" t="s">
        <v>21</v>
      </c>
      <c r="AM288" s="2">
        <v>2570.4</v>
      </c>
      <c r="AN288" s="6">
        <f>IF(Form_Responses1[[#This Row],[NT_proBNP &gt; 35000]]="Có", 35001, Form_Responses1[[#This Row],[NT_ProBNP]])</f>
        <v>2570.4</v>
      </c>
      <c r="AO288" s="15">
        <f>IF(Form_Responses1[[#This Row],[NT_proBNP &gt; 35000]]="Có", 1, 0)</f>
        <v>0</v>
      </c>
      <c r="AP288" s="15">
        <v>266.94</v>
      </c>
      <c r="AQ288" s="15">
        <v>44</v>
      </c>
      <c r="AR288" s="15">
        <v>38</v>
      </c>
      <c r="AS288" s="15">
        <v>98</v>
      </c>
      <c r="AT288" s="15">
        <v>37</v>
      </c>
      <c r="AU288" s="15">
        <v>60</v>
      </c>
      <c r="AV288" s="15">
        <v>67</v>
      </c>
      <c r="AW288" s="15">
        <v>20</v>
      </c>
      <c r="AX288" s="18"/>
      <c r="AY288" s="26">
        <f>IF(Form_Responses1[[#This Row],[ket_cuc]]="Không tử vong", 0, 1)</f>
        <v>0</v>
      </c>
      <c r="AZ288" s="2" t="s">
        <v>24</v>
      </c>
      <c r="BA288" s="32">
        <v>29</v>
      </c>
      <c r="BB288" s="32">
        <v>3.2158236464125835E-2</v>
      </c>
    </row>
    <row r="289" spans="1:54" ht="13" x14ac:dyDescent="0.15">
      <c r="A289" s="1" t="s">
        <v>269</v>
      </c>
      <c r="B289" s="6">
        <v>30</v>
      </c>
      <c r="C289" s="6">
        <f>IF(Form_Responses1[[#This Row],[gioi_tinh]]="Nữ", 0, 1)</f>
        <v>1</v>
      </c>
      <c r="D289" s="1" t="s">
        <v>26</v>
      </c>
      <c r="E289" s="6">
        <v>29.4</v>
      </c>
      <c r="F289" s="6">
        <f>IF(Form_Responses1[[#This Row],[dai_thao_duong]]="Không", 0, 1)</f>
        <v>0</v>
      </c>
      <c r="G289" s="1" t="s">
        <v>21</v>
      </c>
      <c r="H289" s="6">
        <f t="shared" si="8"/>
        <v>0</v>
      </c>
      <c r="I289" s="1" t="s">
        <v>21</v>
      </c>
      <c r="J289" s="6">
        <f>IF(Form_Responses1[[#This Row],[hoi_chung_vanh_man]]="Không", 0, 1)</f>
        <v>0</v>
      </c>
      <c r="K289" s="1" t="s">
        <v>21</v>
      </c>
      <c r="L289" s="6">
        <f>IF(Form_Responses1[[#This Row],[ckd]]="Không", 0, 1)</f>
        <v>0</v>
      </c>
      <c r="M289" s="1" t="s">
        <v>21</v>
      </c>
      <c r="N289" s="6">
        <f t="shared" si="9"/>
        <v>0</v>
      </c>
      <c r="O289" s="1" t="s">
        <v>21</v>
      </c>
      <c r="P289" s="6">
        <f>IF(Form_Responses1[[#This Row],[phan_loai_the_lam_sang]]="Suy tim mất bù cấp", 1,0)</f>
        <v>1</v>
      </c>
      <c r="Q289" s="6">
        <f>IF(Form_Responses1[[#This Row],[phan_loai_the_lam_sang]]="Phù phổi cấp", 1, 0)</f>
        <v>0</v>
      </c>
      <c r="R289" s="6">
        <f>IF(Form_Responses1[[#This Row],[phan_loai_the_lam_sang]]="Choáng tim", 1, 0)</f>
        <v>0</v>
      </c>
      <c r="S289" s="1" t="s">
        <v>23</v>
      </c>
      <c r="T289" s="6">
        <v>134</v>
      </c>
      <c r="U289" s="6">
        <v>90</v>
      </c>
      <c r="V289" s="6">
        <v>60</v>
      </c>
      <c r="W289" s="6">
        <f>IF(Form_Responses1[[#This Row],[hcvc]]="Không", 0, 1)</f>
        <v>0</v>
      </c>
      <c r="X289" s="1" t="s">
        <v>21</v>
      </c>
      <c r="Y289" s="6">
        <f>IF(Form_Responses1[[#This Row],[suy_ho_hap]]="Không", 0, 1)</f>
        <v>0</v>
      </c>
      <c r="Z289" s="1" t="s">
        <v>21</v>
      </c>
      <c r="AA289" s="6">
        <f>IF(Form_Responses1[[#This Row],[rung_nhi]]="Không", 0, 1)</f>
        <v>0</v>
      </c>
      <c r="AB289" s="1" t="s">
        <v>21</v>
      </c>
      <c r="AC289" s="6">
        <v>482</v>
      </c>
      <c r="AD289" s="6">
        <v>0.08</v>
      </c>
      <c r="AE289" s="6">
        <v>18.48</v>
      </c>
      <c r="AF289" s="6">
        <v>113</v>
      </c>
      <c r="AG289" s="6">
        <v>237</v>
      </c>
      <c r="AH289" s="6">
        <v>135</v>
      </c>
      <c r="AI289" s="6">
        <v>4.0999999999999996</v>
      </c>
      <c r="AJ289" s="6">
        <v>13.6</v>
      </c>
      <c r="AK289" s="6">
        <v>1.4</v>
      </c>
      <c r="AL289" s="1" t="s">
        <v>21</v>
      </c>
      <c r="AM289" s="28">
        <v>7897</v>
      </c>
      <c r="AN289" s="6">
        <f>IF(Form_Responses1[[#This Row],[NT_proBNP &gt; 35000]]="Có", 35001, Form_Responses1[[#This Row],[NT_ProBNP]])</f>
        <v>7897</v>
      </c>
      <c r="AO289" s="27">
        <f>IF(Form_Responses1[[#This Row],[NT_proBNP &gt; 35000]]="Có", 1, 0)</f>
        <v>0</v>
      </c>
      <c r="AP289" s="6">
        <v>306.5</v>
      </c>
      <c r="AQ289" s="6">
        <v>281</v>
      </c>
      <c r="AR289" s="6">
        <v>90</v>
      </c>
      <c r="AS289" s="13">
        <v>122</v>
      </c>
      <c r="AT289" s="6">
        <v>41</v>
      </c>
      <c r="AU289" s="6">
        <v>57</v>
      </c>
      <c r="AV289" s="6">
        <v>63</v>
      </c>
      <c r="AW289" s="6">
        <v>20</v>
      </c>
      <c r="AX289" s="13"/>
      <c r="AY289" s="23">
        <f>IF(Form_Responses1[[#This Row],[ket_cuc]]="Không tử vong", 0, 1)</f>
        <v>0</v>
      </c>
      <c r="AZ289" s="1" t="s">
        <v>24</v>
      </c>
      <c r="BA289" s="32">
        <v>42</v>
      </c>
      <c r="BB289" s="32">
        <v>4.9065922030313631E-2</v>
      </c>
    </row>
    <row r="290" spans="1:54" ht="13" x14ac:dyDescent="0.15">
      <c r="A290" s="2" t="s">
        <v>218</v>
      </c>
      <c r="B290" s="15">
        <v>58</v>
      </c>
      <c r="C290" s="15">
        <f>IF(Form_Responses1[[#This Row],[gioi_tinh]]="Nữ", 0, 1)</f>
        <v>1</v>
      </c>
      <c r="D290" s="2" t="s">
        <v>26</v>
      </c>
      <c r="E290" s="15">
        <v>23.5</v>
      </c>
      <c r="F290" s="15">
        <f>IF(Form_Responses1[[#This Row],[dai_thao_duong]]="Không", 0, 1)</f>
        <v>0</v>
      </c>
      <c r="G290" s="2" t="s">
        <v>21</v>
      </c>
      <c r="H290" s="15">
        <f t="shared" si="8"/>
        <v>1</v>
      </c>
      <c r="I290" s="2" t="s">
        <v>22</v>
      </c>
      <c r="J290" s="15">
        <f>IF(Form_Responses1[[#This Row],[hoi_chung_vanh_man]]="Không", 0, 1)</f>
        <v>0</v>
      </c>
      <c r="K290" s="2" t="s">
        <v>21</v>
      </c>
      <c r="L290" s="15">
        <f>IF(Form_Responses1[[#This Row],[ckd]]="Không", 0, 1)</f>
        <v>0</v>
      </c>
      <c r="M290" s="2" t="s">
        <v>21</v>
      </c>
      <c r="N290" s="15">
        <f t="shared" si="9"/>
        <v>0</v>
      </c>
      <c r="O290" s="2" t="s">
        <v>21</v>
      </c>
      <c r="P290" s="15">
        <f>IF(Form_Responses1[[#This Row],[phan_loai_the_lam_sang]]="Suy tim mất bù cấp", 1,0)</f>
        <v>1</v>
      </c>
      <c r="Q290" s="15">
        <f>IF(Form_Responses1[[#This Row],[phan_loai_the_lam_sang]]="Phù phổi cấp", 1, 0)</f>
        <v>0</v>
      </c>
      <c r="R290" s="15">
        <f>IF(Form_Responses1[[#This Row],[phan_loai_the_lam_sang]]="Choáng tim", 1, 0)</f>
        <v>0</v>
      </c>
      <c r="S290" s="2" t="s">
        <v>23</v>
      </c>
      <c r="T290" s="15">
        <v>103</v>
      </c>
      <c r="U290" s="15">
        <v>130</v>
      </c>
      <c r="V290" s="15">
        <v>90</v>
      </c>
      <c r="W290" s="15">
        <f>IF(Form_Responses1[[#This Row],[hcvc]]="Không", 0, 1)</f>
        <v>0</v>
      </c>
      <c r="X290" s="2" t="s">
        <v>21</v>
      </c>
      <c r="Y290" s="15">
        <f>IF(Form_Responses1[[#This Row],[suy_ho_hap]]="Không", 0, 1)</f>
        <v>1</v>
      </c>
      <c r="Z290" s="2" t="s">
        <v>22</v>
      </c>
      <c r="AA290" s="15">
        <f>IF(Form_Responses1[[#This Row],[rung_nhi]]="Không", 0, 1)</f>
        <v>0</v>
      </c>
      <c r="AB290" s="2" t="s">
        <v>21</v>
      </c>
      <c r="AC290" s="15">
        <v>450</v>
      </c>
      <c r="AD290" s="15">
        <v>0.13</v>
      </c>
      <c r="AE290" s="15">
        <v>13.36</v>
      </c>
      <c r="AF290" s="15">
        <v>127</v>
      </c>
      <c r="AG290" s="15">
        <v>277</v>
      </c>
      <c r="AH290" s="15">
        <v>129</v>
      </c>
      <c r="AI290" s="15">
        <v>3.9</v>
      </c>
      <c r="AJ290" s="15">
        <v>19</v>
      </c>
      <c r="AK290" s="15">
        <v>0.98</v>
      </c>
      <c r="AL290" s="2" t="s">
        <v>21</v>
      </c>
      <c r="AM290" s="28">
        <v>5323.87</v>
      </c>
      <c r="AN290" s="6">
        <f>IF(Form_Responses1[[#This Row],[NT_proBNP &gt; 35000]]="Có", 35001, Form_Responses1[[#This Row],[NT_ProBNP]])</f>
        <v>5323.87</v>
      </c>
      <c r="AO290" s="27">
        <f>IF(Form_Responses1[[#This Row],[NT_proBNP &gt; 35000]]="Có", 1, 0)</f>
        <v>0</v>
      </c>
      <c r="AP290" s="15">
        <v>438.3</v>
      </c>
      <c r="AQ290" s="15">
        <v>34</v>
      </c>
      <c r="AR290" s="15">
        <v>87</v>
      </c>
      <c r="AS290" s="18">
        <v>131</v>
      </c>
      <c r="AT290" s="15">
        <v>48.6</v>
      </c>
      <c r="AU290" s="15">
        <v>55.9</v>
      </c>
      <c r="AV290" s="15">
        <v>62.4</v>
      </c>
      <c r="AW290" s="15">
        <v>20</v>
      </c>
      <c r="AX290" s="15">
        <v>71</v>
      </c>
      <c r="AY290" s="22">
        <f>IF(Form_Responses1[[#This Row],[ket_cuc]]="Không tử vong", 0, 1)</f>
        <v>0</v>
      </c>
      <c r="AZ290" s="2" t="s">
        <v>24</v>
      </c>
      <c r="BA290" s="32">
        <v>39</v>
      </c>
      <c r="BB290" s="32">
        <v>4.6287072550849899E-2</v>
      </c>
    </row>
    <row r="291" spans="1:54" ht="13" x14ac:dyDescent="0.15">
      <c r="A291" s="1" t="s">
        <v>137</v>
      </c>
      <c r="B291" s="6">
        <v>73</v>
      </c>
      <c r="C291" s="6">
        <f>IF(Form_Responses1[[#This Row],[gioi_tinh]]="Nữ", 0, 1)</f>
        <v>0</v>
      </c>
      <c r="D291" s="1" t="s">
        <v>20</v>
      </c>
      <c r="E291" s="6">
        <v>20.399999999999999</v>
      </c>
      <c r="F291" s="6">
        <f>IF(Form_Responses1[[#This Row],[dai_thao_duong]]="Không", 0, 1)</f>
        <v>0</v>
      </c>
      <c r="G291" s="1" t="s">
        <v>21</v>
      </c>
      <c r="H291" s="6">
        <f t="shared" si="8"/>
        <v>0</v>
      </c>
      <c r="I291" s="1" t="s">
        <v>21</v>
      </c>
      <c r="J291" s="6">
        <f>IF(Form_Responses1[[#This Row],[hoi_chung_vanh_man]]="Không", 0, 1)</f>
        <v>0</v>
      </c>
      <c r="K291" s="1" t="s">
        <v>21</v>
      </c>
      <c r="L291" s="6">
        <f>IF(Form_Responses1[[#This Row],[ckd]]="Không", 0, 1)</f>
        <v>0</v>
      </c>
      <c r="M291" s="1" t="s">
        <v>21</v>
      </c>
      <c r="N291" s="6">
        <f t="shared" si="9"/>
        <v>0</v>
      </c>
      <c r="O291" s="1" t="s">
        <v>21</v>
      </c>
      <c r="P291" s="6">
        <f>IF(Form_Responses1[[#This Row],[phan_loai_the_lam_sang]]="Suy tim mất bù cấp", 1,0)</f>
        <v>0</v>
      </c>
      <c r="Q291" s="6">
        <f>IF(Form_Responses1[[#This Row],[phan_loai_the_lam_sang]]="Phù phổi cấp", 1, 0)</f>
        <v>1</v>
      </c>
      <c r="R291" s="6">
        <f>IF(Form_Responses1[[#This Row],[phan_loai_the_lam_sang]]="Choáng tim", 1, 0)</f>
        <v>0</v>
      </c>
      <c r="S291" s="1" t="s">
        <v>45</v>
      </c>
      <c r="T291" s="6">
        <v>100</v>
      </c>
      <c r="U291" s="6">
        <v>120</v>
      </c>
      <c r="V291" s="6">
        <v>80</v>
      </c>
      <c r="W291" s="6">
        <f>IF(Form_Responses1[[#This Row],[hcvc]]="Không", 0, 1)</f>
        <v>0</v>
      </c>
      <c r="X291" s="1" t="s">
        <v>21</v>
      </c>
      <c r="Y291" s="6">
        <f>IF(Form_Responses1[[#This Row],[suy_ho_hap]]="Không", 0, 1)</f>
        <v>1</v>
      </c>
      <c r="Z291" s="1" t="s">
        <v>22</v>
      </c>
      <c r="AA291" s="6">
        <f>IF(Form_Responses1[[#This Row],[rung_nhi]]="Không", 0, 1)</f>
        <v>0</v>
      </c>
      <c r="AB291" s="1" t="s">
        <v>21</v>
      </c>
      <c r="AC291" s="6">
        <v>520</v>
      </c>
      <c r="AD291" s="6">
        <v>7.0000000000000007E-2</v>
      </c>
      <c r="AE291" s="6">
        <v>19.61</v>
      </c>
      <c r="AF291" s="6">
        <v>67</v>
      </c>
      <c r="AG291" s="6">
        <v>590</v>
      </c>
      <c r="AH291" s="6">
        <v>135</v>
      </c>
      <c r="AI291" s="6">
        <v>5.7</v>
      </c>
      <c r="AJ291" s="6">
        <v>78</v>
      </c>
      <c r="AK291" s="6">
        <v>3.66</v>
      </c>
      <c r="AL291" s="1" t="s">
        <v>22</v>
      </c>
      <c r="AM291" s="10"/>
      <c r="AN291" s="6">
        <f>IF(Form_Responses1[[#This Row],[NT_proBNP &gt; 35000]]="Có", 35001, Form_Responses1[[#This Row],[NT_ProBNP]])</f>
        <v>35001</v>
      </c>
      <c r="AO291" s="13">
        <f>IF(Form_Responses1[[#This Row],[NT_proBNP &gt; 35000]]="Có", 1, 0)</f>
        <v>1</v>
      </c>
      <c r="AP291" s="6">
        <v>850.7</v>
      </c>
      <c r="AQ291" s="6">
        <v>28</v>
      </c>
      <c r="AR291" s="6">
        <v>25</v>
      </c>
      <c r="AS291" s="6">
        <v>174</v>
      </c>
      <c r="AT291" s="6">
        <v>44</v>
      </c>
      <c r="AU291" s="6">
        <v>44</v>
      </c>
      <c r="AV291" s="6">
        <v>52</v>
      </c>
      <c r="AW291" s="6">
        <v>20</v>
      </c>
      <c r="AX291" s="27">
        <v>45</v>
      </c>
      <c r="AY291" s="29">
        <f>IF(Form_Responses1[[#This Row],[ket_cuc]]="Không tử vong", 0, 1)</f>
        <v>1</v>
      </c>
      <c r="AZ291" s="1" t="s">
        <v>29</v>
      </c>
      <c r="BA291" s="32">
        <v>56</v>
      </c>
      <c r="BB291" s="32">
        <v>0.23325893577145729</v>
      </c>
    </row>
    <row r="292" spans="1:54" ht="13" x14ac:dyDescent="0.15">
      <c r="A292" s="2" t="s">
        <v>138</v>
      </c>
      <c r="B292" s="15">
        <v>79</v>
      </c>
      <c r="C292" s="15">
        <f>IF(Form_Responses1[[#This Row],[gioi_tinh]]="Nữ", 0, 1)</f>
        <v>1</v>
      </c>
      <c r="D292" s="2" t="s">
        <v>26</v>
      </c>
      <c r="E292" s="15">
        <v>17.600000000000001</v>
      </c>
      <c r="F292" s="15">
        <f>IF(Form_Responses1[[#This Row],[dai_thao_duong]]="Không", 0, 1)</f>
        <v>0</v>
      </c>
      <c r="G292" s="2" t="s">
        <v>21</v>
      </c>
      <c r="H292" s="15">
        <f t="shared" si="8"/>
        <v>1</v>
      </c>
      <c r="I292" s="2" t="s">
        <v>22</v>
      </c>
      <c r="J292" s="15">
        <f>IF(Form_Responses1[[#This Row],[hoi_chung_vanh_man]]="Không", 0, 1)</f>
        <v>0</v>
      </c>
      <c r="K292" s="2" t="s">
        <v>21</v>
      </c>
      <c r="L292" s="15">
        <f>IF(Form_Responses1[[#This Row],[ckd]]="Không", 0, 1)</f>
        <v>0</v>
      </c>
      <c r="M292" s="2" t="s">
        <v>21</v>
      </c>
      <c r="N292" s="15">
        <f t="shared" si="9"/>
        <v>0</v>
      </c>
      <c r="O292" s="2" t="s">
        <v>21</v>
      </c>
      <c r="P292" s="15">
        <f>IF(Form_Responses1[[#This Row],[phan_loai_the_lam_sang]]="Suy tim mất bù cấp", 1,0)</f>
        <v>1</v>
      </c>
      <c r="Q292" s="15">
        <f>IF(Form_Responses1[[#This Row],[phan_loai_the_lam_sang]]="Phù phổi cấp", 1, 0)</f>
        <v>0</v>
      </c>
      <c r="R292" s="15">
        <f>IF(Form_Responses1[[#This Row],[phan_loai_the_lam_sang]]="Choáng tim", 1, 0)</f>
        <v>0</v>
      </c>
      <c r="S292" s="2" t="s">
        <v>23</v>
      </c>
      <c r="T292" s="15">
        <v>108</v>
      </c>
      <c r="U292" s="15">
        <v>110</v>
      </c>
      <c r="V292" s="15">
        <v>70</v>
      </c>
      <c r="W292" s="15">
        <f>IF(Form_Responses1[[#This Row],[hcvc]]="Không", 0, 1)</f>
        <v>1</v>
      </c>
      <c r="X292" s="2" t="s">
        <v>22</v>
      </c>
      <c r="Y292" s="15">
        <f>IF(Form_Responses1[[#This Row],[suy_ho_hap]]="Không", 0, 1)</f>
        <v>0</v>
      </c>
      <c r="Z292" s="2" t="s">
        <v>21</v>
      </c>
      <c r="AA292" s="15">
        <f>IF(Form_Responses1[[#This Row],[rung_nhi]]="Không", 0, 1)</f>
        <v>0</v>
      </c>
      <c r="AB292" s="2" t="s">
        <v>21</v>
      </c>
      <c r="AC292" s="15">
        <v>388</v>
      </c>
      <c r="AD292" s="15">
        <v>0.1</v>
      </c>
      <c r="AE292" s="15">
        <v>6.5</v>
      </c>
      <c r="AF292" s="15">
        <v>126</v>
      </c>
      <c r="AG292" s="15">
        <v>158</v>
      </c>
      <c r="AH292" s="15">
        <v>140</v>
      </c>
      <c r="AI292" s="15">
        <v>3.6</v>
      </c>
      <c r="AJ292" s="15">
        <v>18</v>
      </c>
      <c r="AK292" s="15">
        <v>1.23</v>
      </c>
      <c r="AL292" s="2" t="s">
        <v>21</v>
      </c>
      <c r="AM292" s="2">
        <v>6603.8</v>
      </c>
      <c r="AN292" s="6">
        <f>IF(Form_Responses1[[#This Row],[NT_proBNP &gt; 35000]]="Có", 35001, Form_Responses1[[#This Row],[NT_ProBNP]])</f>
        <v>6603.8</v>
      </c>
      <c r="AO292" s="15">
        <f>IF(Form_Responses1[[#This Row],[NT_proBNP &gt; 35000]]="Có", 1, 0)</f>
        <v>0</v>
      </c>
      <c r="AP292" s="15">
        <v>881.82</v>
      </c>
      <c r="AQ292" s="15">
        <v>59</v>
      </c>
      <c r="AR292" s="15">
        <v>45</v>
      </c>
      <c r="AS292" s="15">
        <v>116</v>
      </c>
      <c r="AT292" s="15">
        <v>40</v>
      </c>
      <c r="AU292" s="15">
        <v>56</v>
      </c>
      <c r="AV292" s="15">
        <v>67</v>
      </c>
      <c r="AW292" s="15">
        <v>20</v>
      </c>
      <c r="AY292" s="25">
        <f>IF(Form_Responses1[[#This Row],[ket_cuc]]="Không tử vong", 0, 1)</f>
        <v>0</v>
      </c>
      <c r="AZ292" s="2" t="s">
        <v>24</v>
      </c>
      <c r="BA292" s="32">
        <v>47</v>
      </c>
      <c r="BB292" s="32">
        <v>0.12000318542779878</v>
      </c>
    </row>
    <row r="293" spans="1:54" ht="13" x14ac:dyDescent="0.15">
      <c r="A293" s="1" t="s">
        <v>166</v>
      </c>
      <c r="B293" s="6">
        <v>76</v>
      </c>
      <c r="C293" s="6">
        <f>IF(Form_Responses1[[#This Row],[gioi_tinh]]="Nữ", 0, 1)</f>
        <v>1</v>
      </c>
      <c r="D293" s="1" t="s">
        <v>26</v>
      </c>
      <c r="E293" s="6">
        <v>27.6</v>
      </c>
      <c r="F293" s="6">
        <f>IF(Form_Responses1[[#This Row],[dai_thao_duong]]="Không", 0, 1)</f>
        <v>1</v>
      </c>
      <c r="G293" s="1" t="s">
        <v>22</v>
      </c>
      <c r="H293" s="6">
        <f t="shared" si="8"/>
        <v>1</v>
      </c>
      <c r="I293" s="1" t="s">
        <v>22</v>
      </c>
      <c r="J293" s="6">
        <f>IF(Form_Responses1[[#This Row],[hoi_chung_vanh_man]]="Không", 0, 1)</f>
        <v>0</v>
      </c>
      <c r="K293" s="1" t="s">
        <v>21</v>
      </c>
      <c r="L293" s="6">
        <f>IF(Form_Responses1[[#This Row],[ckd]]="Không", 0, 1)</f>
        <v>0</v>
      </c>
      <c r="M293" s="1" t="s">
        <v>21</v>
      </c>
      <c r="N293" s="6">
        <f t="shared" si="9"/>
        <v>0</v>
      </c>
      <c r="O293" s="1" t="s">
        <v>21</v>
      </c>
      <c r="P293" s="6">
        <f>IF(Form_Responses1[[#This Row],[phan_loai_the_lam_sang]]="Suy tim mất bù cấp", 1,0)</f>
        <v>0</v>
      </c>
      <c r="Q293" s="6">
        <f>IF(Form_Responses1[[#This Row],[phan_loai_the_lam_sang]]="Phù phổi cấp", 1, 0)</f>
        <v>1</v>
      </c>
      <c r="R293" s="6">
        <f>IF(Form_Responses1[[#This Row],[phan_loai_the_lam_sang]]="Choáng tim", 1, 0)</f>
        <v>0</v>
      </c>
      <c r="S293" s="1" t="s">
        <v>45</v>
      </c>
      <c r="T293" s="6">
        <v>117</v>
      </c>
      <c r="U293" s="6">
        <v>170</v>
      </c>
      <c r="V293" s="6">
        <v>90</v>
      </c>
      <c r="W293" s="6">
        <f>IF(Form_Responses1[[#This Row],[hcvc]]="Không", 0, 1)</f>
        <v>1</v>
      </c>
      <c r="X293" s="1" t="s">
        <v>22</v>
      </c>
      <c r="Y293" s="6">
        <f>IF(Form_Responses1[[#This Row],[suy_ho_hap]]="Không", 0, 1)</f>
        <v>1</v>
      </c>
      <c r="Z293" s="1" t="s">
        <v>22</v>
      </c>
      <c r="AA293" s="6">
        <f>IF(Form_Responses1[[#This Row],[rung_nhi]]="Không", 0, 1)</f>
        <v>0</v>
      </c>
      <c r="AB293" s="1" t="s">
        <v>21</v>
      </c>
      <c r="AC293" s="6">
        <v>367</v>
      </c>
      <c r="AD293" s="6">
        <v>0.08</v>
      </c>
      <c r="AE293" s="6">
        <v>11.33</v>
      </c>
      <c r="AF293" s="6">
        <v>112</v>
      </c>
      <c r="AG293" s="6">
        <v>217</v>
      </c>
      <c r="AH293" s="6">
        <v>134</v>
      </c>
      <c r="AI293" s="6">
        <v>4.3</v>
      </c>
      <c r="AJ293" s="6">
        <v>39</v>
      </c>
      <c r="AK293" s="6">
        <v>2.52</v>
      </c>
      <c r="AL293" s="1" t="s">
        <v>21</v>
      </c>
      <c r="AM293" s="28">
        <v>31545</v>
      </c>
      <c r="AN293" s="6">
        <f>IF(Form_Responses1[[#This Row],[NT_proBNP &gt; 35000]]="Có", 35001, Form_Responses1[[#This Row],[NT_ProBNP]])</f>
        <v>31545</v>
      </c>
      <c r="AO293" s="27">
        <f>IF(Form_Responses1[[#This Row],[NT_proBNP &gt; 35000]]="Có", 1, 0)</f>
        <v>0</v>
      </c>
      <c r="AP293" s="6">
        <v>2106</v>
      </c>
      <c r="AQ293" s="6">
        <v>105</v>
      </c>
      <c r="AR293" s="6">
        <v>68</v>
      </c>
      <c r="AS293" s="6">
        <v>194</v>
      </c>
      <c r="AT293" s="13"/>
      <c r="AU293" s="6">
        <v>53</v>
      </c>
      <c r="AV293" s="6">
        <v>59</v>
      </c>
      <c r="AW293" s="6">
        <v>20</v>
      </c>
      <c r="AX293" s="6">
        <v>30</v>
      </c>
      <c r="AY293" s="24">
        <f>IF(Form_Responses1[[#This Row],[ket_cuc]]="Không tử vong", 0, 1)</f>
        <v>0</v>
      </c>
      <c r="AZ293" s="1" t="s">
        <v>24</v>
      </c>
      <c r="BA293" s="32">
        <v>42</v>
      </c>
      <c r="BB293" s="32">
        <v>0.13014243220873764</v>
      </c>
    </row>
    <row r="294" spans="1:54" ht="13" x14ac:dyDescent="0.15">
      <c r="A294" s="2" t="s">
        <v>224</v>
      </c>
      <c r="B294" s="15">
        <v>88</v>
      </c>
      <c r="C294" s="15">
        <f>IF(Form_Responses1[[#This Row],[gioi_tinh]]="Nữ", 0, 1)</f>
        <v>1</v>
      </c>
      <c r="D294" s="2" t="s">
        <v>26</v>
      </c>
      <c r="E294" s="15">
        <v>17.63</v>
      </c>
      <c r="F294" s="15">
        <f>IF(Form_Responses1[[#This Row],[dai_thao_duong]]="Không", 0, 1)</f>
        <v>1</v>
      </c>
      <c r="G294" s="2" t="s">
        <v>22</v>
      </c>
      <c r="H294" s="15">
        <f t="shared" si="8"/>
        <v>1</v>
      </c>
      <c r="I294" s="2" t="s">
        <v>22</v>
      </c>
      <c r="J294" s="15">
        <f>IF(Form_Responses1[[#This Row],[hoi_chung_vanh_man]]="Không", 0, 1)</f>
        <v>0</v>
      </c>
      <c r="K294" s="2" t="s">
        <v>21</v>
      </c>
      <c r="L294" s="15">
        <f>IF(Form_Responses1[[#This Row],[ckd]]="Không", 0, 1)</f>
        <v>1</v>
      </c>
      <c r="M294" s="2" t="s">
        <v>22</v>
      </c>
      <c r="N294" s="15">
        <f t="shared" si="9"/>
        <v>0</v>
      </c>
      <c r="O294" s="2" t="s">
        <v>21</v>
      </c>
      <c r="P294" s="15">
        <f>IF(Form_Responses1[[#This Row],[phan_loai_the_lam_sang]]="Suy tim mất bù cấp", 1,0)</f>
        <v>1</v>
      </c>
      <c r="Q294" s="15">
        <f>IF(Form_Responses1[[#This Row],[phan_loai_the_lam_sang]]="Phù phổi cấp", 1, 0)</f>
        <v>0</v>
      </c>
      <c r="R294" s="15">
        <f>IF(Form_Responses1[[#This Row],[phan_loai_the_lam_sang]]="Choáng tim", 1, 0)</f>
        <v>0</v>
      </c>
      <c r="S294" s="2" t="s">
        <v>23</v>
      </c>
      <c r="T294" s="15">
        <v>150</v>
      </c>
      <c r="U294" s="15">
        <v>90</v>
      </c>
      <c r="V294" s="15">
        <v>60</v>
      </c>
      <c r="W294" s="15">
        <f>IF(Form_Responses1[[#This Row],[hcvc]]="Không", 0, 1)</f>
        <v>0</v>
      </c>
      <c r="X294" s="2" t="s">
        <v>21</v>
      </c>
      <c r="Y294" s="15">
        <f>IF(Form_Responses1[[#This Row],[suy_ho_hap]]="Không", 0, 1)</f>
        <v>0</v>
      </c>
      <c r="Z294" s="2" t="s">
        <v>21</v>
      </c>
      <c r="AA294" s="15">
        <f>IF(Form_Responses1[[#This Row],[rung_nhi]]="Không", 0, 1)</f>
        <v>1</v>
      </c>
      <c r="AB294" s="2" t="s">
        <v>22</v>
      </c>
      <c r="AC294" s="15">
        <v>375</v>
      </c>
      <c r="AD294" s="15">
        <v>0.1</v>
      </c>
      <c r="AE294" s="15">
        <v>8.3000000000000007</v>
      </c>
      <c r="AF294" s="15">
        <v>123</v>
      </c>
      <c r="AG294" s="15">
        <v>160</v>
      </c>
      <c r="AH294" s="15">
        <v>136</v>
      </c>
      <c r="AI294" s="15">
        <v>4.0999999999999996</v>
      </c>
      <c r="AJ294" s="15">
        <v>8.4</v>
      </c>
      <c r="AK294" s="15">
        <v>1.35</v>
      </c>
      <c r="AL294" s="2" t="s">
        <v>21</v>
      </c>
      <c r="AM294" s="2">
        <v>18541</v>
      </c>
      <c r="AN294" s="6">
        <f>IF(Form_Responses1[[#This Row],[NT_proBNP &gt; 35000]]="Có", 35001, Form_Responses1[[#This Row],[NT_ProBNP]])</f>
        <v>18541</v>
      </c>
      <c r="AO294" s="15">
        <f>IF(Form_Responses1[[#This Row],[NT_proBNP &gt; 35000]]="Có", 1, 0)</f>
        <v>0</v>
      </c>
      <c r="AP294" s="18"/>
      <c r="AQ294" s="15">
        <v>37</v>
      </c>
      <c r="AR294" s="15">
        <v>32</v>
      </c>
      <c r="AS294" s="15">
        <v>160</v>
      </c>
      <c r="AT294" s="15">
        <v>26</v>
      </c>
      <c r="AU294" s="15">
        <v>54</v>
      </c>
      <c r="AV294" s="15">
        <v>59</v>
      </c>
      <c r="AW294" s="15">
        <v>20</v>
      </c>
      <c r="AX294" s="15">
        <v>55</v>
      </c>
      <c r="AY294" s="22">
        <f>IF(Form_Responses1[[#This Row],[ket_cuc]]="Không tử vong", 0, 1)</f>
        <v>0</v>
      </c>
      <c r="AZ294" s="2" t="s">
        <v>24</v>
      </c>
      <c r="BA294" s="32">
        <v>53</v>
      </c>
      <c r="BB294" s="32">
        <v>0.23245151222711521</v>
      </c>
    </row>
    <row r="295" spans="1:54" ht="13" x14ac:dyDescent="0.15">
      <c r="A295" s="1" t="s">
        <v>225</v>
      </c>
      <c r="B295" s="6">
        <v>61</v>
      </c>
      <c r="C295" s="6">
        <f>IF(Form_Responses1[[#This Row],[gioi_tinh]]="Nữ", 0, 1)</f>
        <v>0</v>
      </c>
      <c r="D295" s="1" t="s">
        <v>20</v>
      </c>
      <c r="E295" s="6">
        <v>21</v>
      </c>
      <c r="F295" s="6">
        <f>IF(Form_Responses1[[#This Row],[dai_thao_duong]]="Không", 0, 1)</f>
        <v>1</v>
      </c>
      <c r="G295" s="1" t="s">
        <v>22</v>
      </c>
      <c r="H295" s="6">
        <f t="shared" si="8"/>
        <v>1</v>
      </c>
      <c r="I295" s="1" t="s">
        <v>22</v>
      </c>
      <c r="J295" s="6">
        <f>IF(Form_Responses1[[#This Row],[hoi_chung_vanh_man]]="Không", 0, 1)</f>
        <v>0</v>
      </c>
      <c r="K295" s="1" t="s">
        <v>21</v>
      </c>
      <c r="L295" s="6">
        <f>IF(Form_Responses1[[#This Row],[ckd]]="Không", 0, 1)</f>
        <v>0</v>
      </c>
      <c r="M295" s="1" t="s">
        <v>21</v>
      </c>
      <c r="N295" s="6">
        <f t="shared" si="9"/>
        <v>0</v>
      </c>
      <c r="O295" s="1" t="s">
        <v>21</v>
      </c>
      <c r="P295" s="6">
        <f>IF(Form_Responses1[[#This Row],[phan_loai_the_lam_sang]]="Suy tim mất bù cấp", 1,0)</f>
        <v>1</v>
      </c>
      <c r="Q295" s="6">
        <f>IF(Form_Responses1[[#This Row],[phan_loai_the_lam_sang]]="Phù phổi cấp", 1, 0)</f>
        <v>0</v>
      </c>
      <c r="R295" s="6">
        <f>IF(Form_Responses1[[#This Row],[phan_loai_the_lam_sang]]="Choáng tim", 1, 0)</f>
        <v>0</v>
      </c>
      <c r="S295" s="1" t="s">
        <v>23</v>
      </c>
      <c r="T295" s="6">
        <v>98</v>
      </c>
      <c r="U295" s="6">
        <v>140</v>
      </c>
      <c r="V295" s="6">
        <v>80</v>
      </c>
      <c r="W295" s="6">
        <f>IF(Form_Responses1[[#This Row],[hcvc]]="Không", 0, 1)</f>
        <v>0</v>
      </c>
      <c r="X295" s="1" t="s">
        <v>21</v>
      </c>
      <c r="Y295" s="6">
        <f>IF(Form_Responses1[[#This Row],[suy_ho_hap]]="Không", 0, 1)</f>
        <v>0</v>
      </c>
      <c r="Z295" s="1" t="s">
        <v>21</v>
      </c>
      <c r="AA295" s="6">
        <f>IF(Form_Responses1[[#This Row],[rung_nhi]]="Không", 0, 1)</f>
        <v>0</v>
      </c>
      <c r="AB295" s="1" t="s">
        <v>21</v>
      </c>
      <c r="AC295" s="6">
        <v>508</v>
      </c>
      <c r="AD295" s="6">
        <v>0.08</v>
      </c>
      <c r="AE295" s="6">
        <v>5.61</v>
      </c>
      <c r="AF295" s="6">
        <v>137</v>
      </c>
      <c r="AG295" s="6">
        <v>267</v>
      </c>
      <c r="AH295" s="6">
        <v>139</v>
      </c>
      <c r="AI295" s="6">
        <v>3.1</v>
      </c>
      <c r="AJ295" s="6">
        <v>12</v>
      </c>
      <c r="AK295" s="6">
        <v>0.85</v>
      </c>
      <c r="AL295" s="1" t="s">
        <v>21</v>
      </c>
      <c r="AM295" s="28">
        <v>9686</v>
      </c>
      <c r="AN295" s="6">
        <f>IF(Form_Responses1[[#This Row],[NT_proBNP &gt; 35000]]="Có", 35001, Form_Responses1[[#This Row],[NT_ProBNP]])</f>
        <v>9686</v>
      </c>
      <c r="AO295" s="27">
        <f>IF(Form_Responses1[[#This Row],[NT_proBNP &gt; 35000]]="Có", 1, 0)</f>
        <v>0</v>
      </c>
      <c r="AP295" s="13"/>
      <c r="AQ295" s="6">
        <v>36</v>
      </c>
      <c r="AR295" s="6">
        <v>39</v>
      </c>
      <c r="AS295" s="6">
        <v>129</v>
      </c>
      <c r="AT295" s="6">
        <v>36</v>
      </c>
      <c r="AU295" s="6">
        <v>54</v>
      </c>
      <c r="AV295" s="6">
        <v>62</v>
      </c>
      <c r="AW295" s="6">
        <v>20</v>
      </c>
      <c r="AX295" s="13"/>
      <c r="AY295" s="23">
        <f>IF(Form_Responses1[[#This Row],[ket_cuc]]="Không tử vong", 0, 1)</f>
        <v>0</v>
      </c>
      <c r="AZ295" s="1" t="s">
        <v>24</v>
      </c>
      <c r="BA295" s="32">
        <v>35</v>
      </c>
      <c r="BB295" s="32">
        <v>4.9219188323555763E-2</v>
      </c>
    </row>
    <row r="296" spans="1:54" ht="13" x14ac:dyDescent="0.15">
      <c r="A296" s="2" t="s">
        <v>172</v>
      </c>
      <c r="B296" s="15">
        <v>46</v>
      </c>
      <c r="C296" s="15">
        <f>IF(Form_Responses1[[#This Row],[gioi_tinh]]="Nữ", 0, 1)</f>
        <v>1</v>
      </c>
      <c r="D296" s="2" t="s">
        <v>26</v>
      </c>
      <c r="E296" s="15">
        <v>13.1</v>
      </c>
      <c r="F296" s="15">
        <f>IF(Form_Responses1[[#This Row],[dai_thao_duong]]="Không", 0, 1)</f>
        <v>0</v>
      </c>
      <c r="G296" s="2" t="s">
        <v>21</v>
      </c>
      <c r="H296" s="15">
        <f t="shared" si="8"/>
        <v>1</v>
      </c>
      <c r="I296" s="2" t="s">
        <v>22</v>
      </c>
      <c r="J296" s="15">
        <f>IF(Form_Responses1[[#This Row],[hoi_chung_vanh_man]]="Không", 0, 1)</f>
        <v>0</v>
      </c>
      <c r="K296" s="2" t="s">
        <v>21</v>
      </c>
      <c r="L296" s="15">
        <f>IF(Form_Responses1[[#This Row],[ckd]]="Không", 0, 1)</f>
        <v>0</v>
      </c>
      <c r="M296" s="2" t="s">
        <v>21</v>
      </c>
      <c r="N296" s="15">
        <f t="shared" si="9"/>
        <v>0</v>
      </c>
      <c r="O296" s="2" t="s">
        <v>21</v>
      </c>
      <c r="P296" s="15">
        <f>IF(Form_Responses1[[#This Row],[phan_loai_the_lam_sang]]="Suy tim mất bù cấp", 1,0)</f>
        <v>1</v>
      </c>
      <c r="Q296" s="15">
        <f>IF(Form_Responses1[[#This Row],[phan_loai_the_lam_sang]]="Phù phổi cấp", 1, 0)</f>
        <v>0</v>
      </c>
      <c r="R296" s="15">
        <f>IF(Form_Responses1[[#This Row],[phan_loai_the_lam_sang]]="Choáng tim", 1, 0)</f>
        <v>0</v>
      </c>
      <c r="S296" s="2" t="s">
        <v>23</v>
      </c>
      <c r="T296" s="15">
        <v>108</v>
      </c>
      <c r="U296" s="15">
        <v>140</v>
      </c>
      <c r="V296" s="15">
        <v>90</v>
      </c>
      <c r="W296" s="15">
        <f>IF(Form_Responses1[[#This Row],[hcvc]]="Không", 0, 1)</f>
        <v>0</v>
      </c>
      <c r="X296" s="2" t="s">
        <v>21</v>
      </c>
      <c r="Y296" s="15">
        <f>IF(Form_Responses1[[#This Row],[suy_ho_hap]]="Không", 0, 1)</f>
        <v>1</v>
      </c>
      <c r="Z296" s="2" t="s">
        <v>22</v>
      </c>
      <c r="AA296" s="15">
        <f>IF(Form_Responses1[[#This Row],[rung_nhi]]="Không", 0, 1)</f>
        <v>1</v>
      </c>
      <c r="AB296" s="2" t="s">
        <v>22</v>
      </c>
      <c r="AC296" s="15">
        <v>277</v>
      </c>
      <c r="AD296" s="15">
        <v>0.12</v>
      </c>
      <c r="AE296" s="15">
        <v>15.22</v>
      </c>
      <c r="AF296" s="15">
        <v>130</v>
      </c>
      <c r="AG296" s="15">
        <v>211</v>
      </c>
      <c r="AH296" s="15">
        <v>134</v>
      </c>
      <c r="AI296" s="15">
        <v>3</v>
      </c>
      <c r="AJ296" s="15">
        <v>16</v>
      </c>
      <c r="AK296" s="15">
        <v>1.37</v>
      </c>
      <c r="AL296" s="2" t="s">
        <v>21</v>
      </c>
      <c r="AM296" s="2">
        <v>3479.4</v>
      </c>
      <c r="AN296" s="6">
        <f>IF(Form_Responses1[[#This Row],[NT_proBNP &gt; 35000]]="Có", 35001, Form_Responses1[[#This Row],[NT_ProBNP]])</f>
        <v>3479.4</v>
      </c>
      <c r="AO296" s="15">
        <f>IF(Form_Responses1[[#This Row],[NT_proBNP &gt; 35000]]="Có", 1, 0)</f>
        <v>0</v>
      </c>
      <c r="AP296" s="18"/>
      <c r="AQ296" s="15">
        <v>15</v>
      </c>
      <c r="AR296" s="15">
        <v>11</v>
      </c>
      <c r="AS296" s="18">
        <v>129</v>
      </c>
      <c r="AT296" s="15">
        <v>54</v>
      </c>
      <c r="AU296" s="15">
        <v>67.400000000000006</v>
      </c>
      <c r="AV296" s="15">
        <v>70.900000000000006</v>
      </c>
      <c r="AW296" s="15">
        <v>20</v>
      </c>
      <c r="AX296" s="18"/>
      <c r="AY296" s="26">
        <f>IF(Form_Responses1[[#This Row],[ket_cuc]]="Không tử vong", 0, 1)</f>
        <v>0</v>
      </c>
      <c r="AZ296" s="2" t="s">
        <v>24</v>
      </c>
      <c r="BA296" s="32">
        <v>34</v>
      </c>
      <c r="BB296" s="32">
        <v>3.327203123635164E-2</v>
      </c>
    </row>
    <row r="297" spans="1:54" ht="13" x14ac:dyDescent="0.15">
      <c r="A297" s="1" t="s">
        <v>194</v>
      </c>
      <c r="B297" s="6">
        <v>46</v>
      </c>
      <c r="C297" s="6">
        <f>IF(Form_Responses1[[#This Row],[gioi_tinh]]="Nữ", 0, 1)</f>
        <v>1</v>
      </c>
      <c r="D297" s="1" t="s">
        <v>26</v>
      </c>
      <c r="E297" s="6">
        <v>25.4</v>
      </c>
      <c r="F297" s="6">
        <f>IF(Form_Responses1[[#This Row],[dai_thao_duong]]="Không", 0, 1)</f>
        <v>0</v>
      </c>
      <c r="G297" s="1" t="s">
        <v>21</v>
      </c>
      <c r="H297" s="6">
        <f t="shared" si="8"/>
        <v>1</v>
      </c>
      <c r="I297" s="1" t="s">
        <v>22</v>
      </c>
      <c r="J297" s="6">
        <f>IF(Form_Responses1[[#This Row],[hoi_chung_vanh_man]]="Không", 0, 1)</f>
        <v>0</v>
      </c>
      <c r="K297" s="1" t="s">
        <v>21</v>
      </c>
      <c r="L297" s="6">
        <f>IF(Form_Responses1[[#This Row],[ckd]]="Không", 0, 1)</f>
        <v>0</v>
      </c>
      <c r="M297" s="1" t="s">
        <v>21</v>
      </c>
      <c r="N297" s="6">
        <f t="shared" si="9"/>
        <v>0</v>
      </c>
      <c r="O297" s="1" t="s">
        <v>21</v>
      </c>
      <c r="P297" s="6">
        <f>IF(Form_Responses1[[#This Row],[phan_loai_the_lam_sang]]="Suy tim mất bù cấp", 1,0)</f>
        <v>1</v>
      </c>
      <c r="Q297" s="6">
        <f>IF(Form_Responses1[[#This Row],[phan_loai_the_lam_sang]]="Phù phổi cấp", 1, 0)</f>
        <v>0</v>
      </c>
      <c r="R297" s="6">
        <f>IF(Form_Responses1[[#This Row],[phan_loai_the_lam_sang]]="Choáng tim", 1, 0)</f>
        <v>0</v>
      </c>
      <c r="S297" s="1" t="s">
        <v>23</v>
      </c>
      <c r="T297" s="6">
        <v>61</v>
      </c>
      <c r="U297" s="6">
        <v>120</v>
      </c>
      <c r="V297" s="6">
        <v>70</v>
      </c>
      <c r="W297" s="6">
        <f>IF(Form_Responses1[[#This Row],[hcvc]]="Không", 0, 1)</f>
        <v>0</v>
      </c>
      <c r="X297" s="1" t="s">
        <v>21</v>
      </c>
      <c r="Y297" s="6">
        <f>IF(Form_Responses1[[#This Row],[suy_ho_hap]]="Không", 0, 1)</f>
        <v>0</v>
      </c>
      <c r="Z297" s="1" t="s">
        <v>21</v>
      </c>
      <c r="AA297" s="6">
        <f>IF(Form_Responses1[[#This Row],[rung_nhi]]="Không", 0, 1)</f>
        <v>1</v>
      </c>
      <c r="AB297" s="1" t="s">
        <v>22</v>
      </c>
      <c r="AC297" s="6">
        <v>398</v>
      </c>
      <c r="AD297" s="6">
        <v>0.08</v>
      </c>
      <c r="AE297" s="6">
        <v>5.0199999999999996</v>
      </c>
      <c r="AF297" s="6">
        <v>174</v>
      </c>
      <c r="AG297" s="6">
        <v>98</v>
      </c>
      <c r="AH297" s="6">
        <v>131</v>
      </c>
      <c r="AI297" s="6">
        <v>4.5999999999999996</v>
      </c>
      <c r="AJ297" s="6">
        <v>21.5</v>
      </c>
      <c r="AK297" s="6">
        <v>1.93</v>
      </c>
      <c r="AL297" s="1" t="s">
        <v>22</v>
      </c>
      <c r="AN297" s="6">
        <f>IF(Form_Responses1[[#This Row],[NT_proBNP &gt; 35000]]="Có", 35001, Form_Responses1[[#This Row],[NT_ProBNP]])</f>
        <v>35001</v>
      </c>
      <c r="AO297" s="5">
        <f>IF(Form_Responses1[[#This Row],[NT_proBNP &gt; 35000]]="Có", 1, 0)</f>
        <v>1</v>
      </c>
      <c r="AP297" s="13"/>
      <c r="AQ297" s="6">
        <v>45</v>
      </c>
      <c r="AR297" s="6">
        <v>32</v>
      </c>
      <c r="AS297" s="6">
        <v>90</v>
      </c>
      <c r="AT297" s="6">
        <v>41</v>
      </c>
      <c r="AU297" s="6">
        <v>59</v>
      </c>
      <c r="AV297" s="6">
        <v>67</v>
      </c>
      <c r="AW297" s="6">
        <v>20</v>
      </c>
      <c r="AX297" s="6">
        <v>47</v>
      </c>
      <c r="AY297" s="24">
        <f>IF(Form_Responses1[[#This Row],[ket_cuc]]="Không tử vong", 0, 1)</f>
        <v>0</v>
      </c>
      <c r="AZ297" s="1" t="s">
        <v>24</v>
      </c>
      <c r="BA297" s="32">
        <v>33</v>
      </c>
      <c r="BB297" s="32">
        <v>2.9762259604648216E-2</v>
      </c>
    </row>
    <row r="298" spans="1:54" ht="13" x14ac:dyDescent="0.15">
      <c r="A298" s="2" t="s">
        <v>285</v>
      </c>
      <c r="B298" s="15">
        <v>26</v>
      </c>
      <c r="C298" s="15">
        <f>IF(Form_Responses1[[#This Row],[gioi_tinh]]="Nữ", 0, 1)</f>
        <v>1</v>
      </c>
      <c r="D298" s="2" t="s">
        <v>26</v>
      </c>
      <c r="E298" s="15">
        <v>20.2</v>
      </c>
      <c r="F298" s="15">
        <f>IF(Form_Responses1[[#This Row],[dai_thao_duong]]="Không", 0, 1)</f>
        <v>0</v>
      </c>
      <c r="G298" s="2" t="s">
        <v>21</v>
      </c>
      <c r="H298" s="15">
        <f t="shared" si="8"/>
        <v>0</v>
      </c>
      <c r="I298" s="2" t="s">
        <v>21</v>
      </c>
      <c r="J298" s="15">
        <f>IF(Form_Responses1[[#This Row],[hoi_chung_vanh_man]]="Không", 0, 1)</f>
        <v>0</v>
      </c>
      <c r="K298" s="2" t="s">
        <v>21</v>
      </c>
      <c r="L298" s="15">
        <f>IF(Form_Responses1[[#This Row],[ckd]]="Không", 0, 1)</f>
        <v>0</v>
      </c>
      <c r="M298" s="2" t="s">
        <v>21</v>
      </c>
      <c r="N298" s="15">
        <f t="shared" si="9"/>
        <v>0</v>
      </c>
      <c r="O298" s="2" t="s">
        <v>21</v>
      </c>
      <c r="P298" s="15">
        <f>IF(Form_Responses1[[#This Row],[phan_loai_the_lam_sang]]="Suy tim mất bù cấp", 1,0)</f>
        <v>1</v>
      </c>
      <c r="Q298" s="15">
        <f>IF(Form_Responses1[[#This Row],[phan_loai_the_lam_sang]]="Phù phổi cấp", 1, 0)</f>
        <v>0</v>
      </c>
      <c r="R298" s="15">
        <f>IF(Form_Responses1[[#This Row],[phan_loai_the_lam_sang]]="Choáng tim", 1, 0)</f>
        <v>0</v>
      </c>
      <c r="S298" s="2" t="s">
        <v>23</v>
      </c>
      <c r="T298" s="15">
        <v>107</v>
      </c>
      <c r="U298" s="15">
        <v>100</v>
      </c>
      <c r="V298" s="15">
        <v>60</v>
      </c>
      <c r="W298" s="15">
        <f>IF(Form_Responses1[[#This Row],[hcvc]]="Không", 0, 1)</f>
        <v>0</v>
      </c>
      <c r="X298" s="2" t="s">
        <v>21</v>
      </c>
      <c r="Y298" s="15">
        <f>IF(Form_Responses1[[#This Row],[suy_ho_hap]]="Không", 0, 1)</f>
        <v>0</v>
      </c>
      <c r="Z298" s="2" t="s">
        <v>21</v>
      </c>
      <c r="AA298" s="15">
        <f>IF(Form_Responses1[[#This Row],[rung_nhi]]="Không", 0, 1)</f>
        <v>0</v>
      </c>
      <c r="AB298" s="2" t="s">
        <v>21</v>
      </c>
      <c r="AC298" s="15">
        <v>360</v>
      </c>
      <c r="AD298" s="15">
        <v>0.1</v>
      </c>
      <c r="AE298" s="15">
        <v>9.1999999999999993</v>
      </c>
      <c r="AF298" s="15">
        <v>132</v>
      </c>
      <c r="AG298" s="15">
        <v>160</v>
      </c>
      <c r="AH298" s="15">
        <v>128</v>
      </c>
      <c r="AI298" s="15">
        <v>5.3</v>
      </c>
      <c r="AJ298" s="15">
        <v>28</v>
      </c>
      <c r="AK298" s="15">
        <v>0.72</v>
      </c>
      <c r="AL298" s="2" t="s">
        <v>21</v>
      </c>
      <c r="AM298" s="2">
        <v>2489.5</v>
      </c>
      <c r="AN298" s="6">
        <f>IF(Form_Responses1[[#This Row],[NT_proBNP &gt; 35000]]="Có", 35001, Form_Responses1[[#This Row],[NT_ProBNP]])</f>
        <v>2489.5</v>
      </c>
      <c r="AO298" s="15">
        <f>IF(Form_Responses1[[#This Row],[NT_proBNP &gt; 35000]]="Có", 1, 0)</f>
        <v>0</v>
      </c>
      <c r="AP298" s="18"/>
      <c r="AQ298" s="15">
        <v>96</v>
      </c>
      <c r="AR298" s="15">
        <v>399</v>
      </c>
      <c r="AS298" s="20"/>
      <c r="AT298" s="15">
        <v>39.5</v>
      </c>
      <c r="AU298" s="15">
        <v>67.400000000000006</v>
      </c>
      <c r="AV298" s="15">
        <v>70.900000000000006</v>
      </c>
      <c r="AW298" s="15">
        <v>20</v>
      </c>
      <c r="AX298" s="18"/>
      <c r="AY298" s="26">
        <f>IF(Form_Responses1[[#This Row],[ket_cuc]]="Không tử vong", 0, 1)</f>
        <v>0</v>
      </c>
      <c r="AZ298" s="2" t="s">
        <v>24</v>
      </c>
      <c r="BA298" s="32">
        <v>41</v>
      </c>
      <c r="BB298" s="32">
        <v>4.1970965633291425E-2</v>
      </c>
    </row>
    <row r="299" spans="1:54" ht="13" x14ac:dyDescent="0.15">
      <c r="A299" s="1" t="s">
        <v>189</v>
      </c>
      <c r="B299" s="6">
        <v>55</v>
      </c>
      <c r="C299" s="6">
        <f>IF(Form_Responses1[[#This Row],[gioi_tinh]]="Nữ", 0, 1)</f>
        <v>1</v>
      </c>
      <c r="D299" s="1" t="s">
        <v>26</v>
      </c>
      <c r="E299" s="6">
        <v>26</v>
      </c>
      <c r="F299" s="6">
        <f>IF(Form_Responses1[[#This Row],[dai_thao_duong]]="Không", 0, 1)</f>
        <v>0</v>
      </c>
      <c r="G299" s="1" t="s">
        <v>21</v>
      </c>
      <c r="H299" s="6">
        <f t="shared" si="8"/>
        <v>0</v>
      </c>
      <c r="I299" s="1" t="s">
        <v>21</v>
      </c>
      <c r="J299" s="6">
        <f>IF(Form_Responses1[[#This Row],[hoi_chung_vanh_man]]="Không", 0, 1)</f>
        <v>0</v>
      </c>
      <c r="K299" s="1" t="s">
        <v>21</v>
      </c>
      <c r="L299" s="6">
        <f>IF(Form_Responses1[[#This Row],[ckd]]="Không", 0, 1)</f>
        <v>0</v>
      </c>
      <c r="M299" s="1" t="s">
        <v>21</v>
      </c>
      <c r="N299" s="6">
        <f t="shared" si="9"/>
        <v>0</v>
      </c>
      <c r="O299" s="1" t="s">
        <v>21</v>
      </c>
      <c r="P299" s="6">
        <f>IF(Form_Responses1[[#This Row],[phan_loai_the_lam_sang]]="Suy tim mất bù cấp", 1,0)</f>
        <v>0</v>
      </c>
      <c r="Q299" s="6">
        <f>IF(Form_Responses1[[#This Row],[phan_loai_the_lam_sang]]="Phù phổi cấp", 1, 0)</f>
        <v>0</v>
      </c>
      <c r="R299" s="6">
        <f>IF(Form_Responses1[[#This Row],[phan_loai_the_lam_sang]]="Choáng tim", 1, 0)</f>
        <v>1</v>
      </c>
      <c r="S299" s="1" t="s">
        <v>28</v>
      </c>
      <c r="T299" s="6">
        <v>150</v>
      </c>
      <c r="U299" s="6">
        <v>80</v>
      </c>
      <c r="V299" s="6">
        <v>40</v>
      </c>
      <c r="W299" s="6">
        <f>IF(Form_Responses1[[#This Row],[hcvc]]="Không", 0, 1)</f>
        <v>0</v>
      </c>
      <c r="X299" s="1" t="s">
        <v>21</v>
      </c>
      <c r="Y299" s="6">
        <f>IF(Form_Responses1[[#This Row],[suy_ho_hap]]="Không", 0, 1)</f>
        <v>1</v>
      </c>
      <c r="Z299" s="1" t="s">
        <v>22</v>
      </c>
      <c r="AA299" s="6">
        <f>IF(Form_Responses1[[#This Row],[rung_nhi]]="Không", 0, 1)</f>
        <v>1</v>
      </c>
      <c r="AB299" s="1" t="s">
        <v>22</v>
      </c>
      <c r="AC299" s="6">
        <v>385</v>
      </c>
      <c r="AD299" s="6">
        <v>0.1</v>
      </c>
      <c r="AE299" s="6">
        <v>6.81</v>
      </c>
      <c r="AF299" s="6">
        <v>153</v>
      </c>
      <c r="AG299" s="6">
        <v>122</v>
      </c>
      <c r="AH299" s="6">
        <v>135</v>
      </c>
      <c r="AI299" s="6">
        <v>4.5</v>
      </c>
      <c r="AJ299" s="6">
        <v>22</v>
      </c>
      <c r="AK299" s="6">
        <v>1.6</v>
      </c>
      <c r="AL299" s="1" t="s">
        <v>21</v>
      </c>
      <c r="AM299" s="1">
        <v>26157</v>
      </c>
      <c r="AN299" s="6">
        <f>IF(Form_Responses1[[#This Row],[NT_proBNP &gt; 35000]]="Có", 35001, Form_Responses1[[#This Row],[NT_ProBNP]])</f>
        <v>26157</v>
      </c>
      <c r="AO299" s="6">
        <f>IF(Form_Responses1[[#This Row],[NT_proBNP &gt; 35000]]="Có", 1, 0)</f>
        <v>0</v>
      </c>
      <c r="AP299" s="6">
        <v>149.6</v>
      </c>
      <c r="AQ299" s="6">
        <v>114</v>
      </c>
      <c r="AR299" s="6">
        <v>93</v>
      </c>
      <c r="AS299" s="6">
        <v>129</v>
      </c>
      <c r="AT299" s="6">
        <v>36</v>
      </c>
      <c r="AU299" s="6">
        <v>52.7</v>
      </c>
      <c r="AV299" s="6">
        <v>61.3</v>
      </c>
      <c r="AW299" s="6">
        <v>20</v>
      </c>
      <c r="AX299" s="6">
        <v>42</v>
      </c>
      <c r="AY299" s="24">
        <f>IF(Form_Responses1[[#This Row],[ket_cuc]]="Không tử vong", 0, 1)</f>
        <v>1</v>
      </c>
      <c r="AZ299" s="1" t="s">
        <v>29</v>
      </c>
      <c r="BA299" s="32">
        <v>51</v>
      </c>
      <c r="BB299" s="32">
        <v>0.18654774840106891</v>
      </c>
    </row>
    <row r="300" spans="1:54" ht="13" x14ac:dyDescent="0.15">
      <c r="A300" s="2" t="s">
        <v>41</v>
      </c>
      <c r="B300" s="15">
        <v>42</v>
      </c>
      <c r="C300" s="15">
        <f>IF(Form_Responses1[[#This Row],[gioi_tinh]]="Nữ", 0, 1)</f>
        <v>1</v>
      </c>
      <c r="D300" s="2" t="s">
        <v>26</v>
      </c>
      <c r="E300" s="15">
        <v>26.8</v>
      </c>
      <c r="F300" s="15">
        <f>IF(Form_Responses1[[#This Row],[dai_thao_duong]]="Không", 0, 1)</f>
        <v>0</v>
      </c>
      <c r="G300" s="2" t="s">
        <v>21</v>
      </c>
      <c r="H300" s="15">
        <f t="shared" si="8"/>
        <v>0</v>
      </c>
      <c r="I300" s="2" t="s">
        <v>21</v>
      </c>
      <c r="J300" s="15">
        <f>IF(Form_Responses1[[#This Row],[hoi_chung_vanh_man]]="Không", 0, 1)</f>
        <v>0</v>
      </c>
      <c r="K300" s="2" t="s">
        <v>21</v>
      </c>
      <c r="L300" s="15">
        <f>IF(Form_Responses1[[#This Row],[ckd]]="Không", 0, 1)</f>
        <v>0</v>
      </c>
      <c r="M300" s="2" t="s">
        <v>21</v>
      </c>
      <c r="N300" s="15">
        <f t="shared" si="9"/>
        <v>0</v>
      </c>
      <c r="O300" s="2" t="s">
        <v>21</v>
      </c>
      <c r="P300" s="15">
        <f>IF(Form_Responses1[[#This Row],[phan_loai_the_lam_sang]]="Suy tim mất bù cấp", 1,0)</f>
        <v>0</v>
      </c>
      <c r="Q300" s="15">
        <f>IF(Form_Responses1[[#This Row],[phan_loai_the_lam_sang]]="Phù phổi cấp", 1, 0)</f>
        <v>0</v>
      </c>
      <c r="R300" s="15">
        <f>IF(Form_Responses1[[#This Row],[phan_loai_the_lam_sang]]="Choáng tim", 1, 0)</f>
        <v>1</v>
      </c>
      <c r="S300" s="2" t="s">
        <v>28</v>
      </c>
      <c r="T300" s="15">
        <v>98</v>
      </c>
      <c r="U300" s="15">
        <v>50</v>
      </c>
      <c r="V300" s="15">
        <v>30</v>
      </c>
      <c r="W300" s="15">
        <f>IF(Form_Responses1[[#This Row],[hcvc]]="Không", 0, 1)</f>
        <v>0</v>
      </c>
      <c r="X300" s="2" t="s">
        <v>21</v>
      </c>
      <c r="Y300" s="15">
        <f>IF(Form_Responses1[[#This Row],[suy_ho_hap]]="Không", 0, 1)</f>
        <v>1</v>
      </c>
      <c r="Z300" s="2" t="s">
        <v>22</v>
      </c>
      <c r="AA300" s="15">
        <f>IF(Form_Responses1[[#This Row],[rung_nhi]]="Không", 0, 1)</f>
        <v>0</v>
      </c>
      <c r="AB300" s="2" t="s">
        <v>21</v>
      </c>
      <c r="AC300" s="15">
        <v>413</v>
      </c>
      <c r="AD300" s="15">
        <v>0.1</v>
      </c>
      <c r="AE300" s="15">
        <v>20.5</v>
      </c>
      <c r="AF300" s="15">
        <v>145</v>
      </c>
      <c r="AG300" s="15">
        <v>58</v>
      </c>
      <c r="AH300" s="15">
        <v>123</v>
      </c>
      <c r="AI300" s="15">
        <v>5.4</v>
      </c>
      <c r="AJ300" s="15">
        <v>34</v>
      </c>
      <c r="AK300" s="15">
        <v>2.46</v>
      </c>
      <c r="AL300" s="2" t="s">
        <v>22</v>
      </c>
      <c r="AM300" s="2">
        <v>11447</v>
      </c>
      <c r="AN300" s="6">
        <f>IF(Form_Responses1[[#This Row],[NT_proBNP &gt; 35000]]="Có", 35001, Form_Responses1[[#This Row],[NT_ProBNP]])</f>
        <v>35001</v>
      </c>
      <c r="AO300" s="15">
        <f>IF(Form_Responses1[[#This Row],[NT_proBNP &gt; 35000]]="Có", 1, 0)</f>
        <v>1</v>
      </c>
      <c r="AP300" s="15">
        <v>481.01</v>
      </c>
      <c r="AQ300" s="15">
        <v>2182</v>
      </c>
      <c r="AR300" s="15">
        <v>2862</v>
      </c>
      <c r="AS300" s="15">
        <v>67</v>
      </c>
      <c r="AT300" s="15">
        <v>53</v>
      </c>
      <c r="AU300" s="15">
        <v>60.5</v>
      </c>
      <c r="AV300" s="15">
        <v>65.900000000000006</v>
      </c>
      <c r="AW300" s="15">
        <v>20</v>
      </c>
      <c r="AX300" s="15">
        <v>55</v>
      </c>
      <c r="AY300" s="22">
        <f>IF(Form_Responses1[[#This Row],[ket_cuc]]="Không tử vong", 0, 1)</f>
        <v>0</v>
      </c>
      <c r="AZ300" s="2" t="s">
        <v>24</v>
      </c>
      <c r="BA300" s="32">
        <v>54</v>
      </c>
      <c r="BB300" s="32">
        <v>0.11087839051017569</v>
      </c>
    </row>
    <row r="301" spans="1:54" ht="13" x14ac:dyDescent="0.15">
      <c r="A301" s="1" t="s">
        <v>30</v>
      </c>
      <c r="B301" s="6">
        <v>71</v>
      </c>
      <c r="C301" s="6">
        <f>IF(Form_Responses1[[#This Row],[gioi_tinh]]="Nữ", 0, 1)</f>
        <v>0</v>
      </c>
      <c r="D301" s="1" t="s">
        <v>20</v>
      </c>
      <c r="E301" s="6">
        <v>25</v>
      </c>
      <c r="F301" s="6">
        <f>IF(Form_Responses1[[#This Row],[dai_thao_duong]]="Không", 0, 1)</f>
        <v>0</v>
      </c>
      <c r="G301" s="1" t="s">
        <v>21</v>
      </c>
      <c r="H301" s="6">
        <f t="shared" si="8"/>
        <v>1</v>
      </c>
      <c r="I301" s="1" t="s">
        <v>22</v>
      </c>
      <c r="J301" s="6">
        <f>IF(Form_Responses1[[#This Row],[hoi_chung_vanh_man]]="Không", 0, 1)</f>
        <v>0</v>
      </c>
      <c r="K301" s="1" t="s">
        <v>21</v>
      </c>
      <c r="L301" s="6">
        <f>IF(Form_Responses1[[#This Row],[ckd]]="Không", 0, 1)</f>
        <v>1</v>
      </c>
      <c r="M301" s="1" t="s">
        <v>22</v>
      </c>
      <c r="N301" s="6">
        <f t="shared" si="9"/>
        <v>0</v>
      </c>
      <c r="O301" s="1" t="s">
        <v>21</v>
      </c>
      <c r="P301" s="6">
        <f>IF(Form_Responses1[[#This Row],[phan_loai_the_lam_sang]]="Suy tim mất bù cấp", 1,0)</f>
        <v>0</v>
      </c>
      <c r="Q301" s="6">
        <f>IF(Form_Responses1[[#This Row],[phan_loai_the_lam_sang]]="Phù phổi cấp", 1, 0)</f>
        <v>0</v>
      </c>
      <c r="R301" s="6">
        <f>IF(Form_Responses1[[#This Row],[phan_loai_the_lam_sang]]="Choáng tim", 1, 0)</f>
        <v>1</v>
      </c>
      <c r="S301" s="1" t="s">
        <v>28</v>
      </c>
      <c r="T301" s="6">
        <v>95</v>
      </c>
      <c r="U301" s="6">
        <v>90</v>
      </c>
      <c r="V301" s="6">
        <v>60</v>
      </c>
      <c r="W301" s="6">
        <f>IF(Form_Responses1[[#This Row],[hcvc]]="Không", 0, 1)</f>
        <v>1</v>
      </c>
      <c r="X301" s="1" t="s">
        <v>22</v>
      </c>
      <c r="Y301" s="6">
        <f>IF(Form_Responses1[[#This Row],[suy_ho_hap]]="Không", 0, 1)</f>
        <v>1</v>
      </c>
      <c r="Z301" s="1" t="s">
        <v>22</v>
      </c>
      <c r="AA301" s="6">
        <f>IF(Form_Responses1[[#This Row],[rung_nhi]]="Không", 0, 1)</f>
        <v>0</v>
      </c>
      <c r="AB301" s="1" t="s">
        <v>21</v>
      </c>
      <c r="AC301" s="6">
        <v>413</v>
      </c>
      <c r="AD301" s="6">
        <v>0.1</v>
      </c>
      <c r="AE301" s="6">
        <v>14.93</v>
      </c>
      <c r="AF301" s="6">
        <v>119</v>
      </c>
      <c r="AG301" s="6">
        <v>251</v>
      </c>
      <c r="AH301" s="6">
        <v>138</v>
      </c>
      <c r="AI301" s="6">
        <v>4</v>
      </c>
      <c r="AJ301" s="6">
        <v>57</v>
      </c>
      <c r="AK301" s="6">
        <v>2.34</v>
      </c>
      <c r="AL301" s="1" t="s">
        <v>21</v>
      </c>
      <c r="AM301" s="28">
        <v>30369</v>
      </c>
      <c r="AN301" s="6">
        <f>IF(Form_Responses1[[#This Row],[NT_proBNP &gt; 35000]]="Có", 35001, Form_Responses1[[#This Row],[NT_ProBNP]])</f>
        <v>30369</v>
      </c>
      <c r="AO301" s="27">
        <f>IF(Form_Responses1[[#This Row],[NT_proBNP &gt; 35000]]="Có", 1, 0)</f>
        <v>0</v>
      </c>
      <c r="AP301" s="6">
        <v>14829.88</v>
      </c>
      <c r="AQ301" s="6">
        <v>55</v>
      </c>
      <c r="AR301" s="6">
        <v>43</v>
      </c>
      <c r="AS301" s="6">
        <v>174</v>
      </c>
      <c r="AT301" s="6">
        <v>40.200000000000003</v>
      </c>
      <c r="AU301" s="6">
        <v>53.2</v>
      </c>
      <c r="AV301" s="6">
        <v>62.4</v>
      </c>
      <c r="AW301" s="6">
        <v>20</v>
      </c>
      <c r="AX301" s="6">
        <v>53</v>
      </c>
      <c r="AY301" s="24">
        <f>IF(Form_Responses1[[#This Row],[ket_cuc]]="Không tử vong", 0, 1)</f>
        <v>1</v>
      </c>
      <c r="AZ301" s="1" t="s">
        <v>29</v>
      </c>
      <c r="BA301" s="32">
        <v>56</v>
      </c>
      <c r="BB301" s="32">
        <v>0.20192600504891584</v>
      </c>
    </row>
    <row r="302" spans="1:54" ht="13" x14ac:dyDescent="0.15">
      <c r="A302" s="2" t="s">
        <v>230</v>
      </c>
      <c r="B302" s="15">
        <v>50</v>
      </c>
      <c r="C302" s="15">
        <f>IF(Form_Responses1[[#This Row],[gioi_tinh]]="Nữ", 0, 1)</f>
        <v>1</v>
      </c>
      <c r="D302" s="2" t="s">
        <v>26</v>
      </c>
      <c r="E302" s="15">
        <v>26.4</v>
      </c>
      <c r="F302" s="15">
        <f>IF(Form_Responses1[[#This Row],[dai_thao_duong]]="Không", 0, 1)</f>
        <v>0</v>
      </c>
      <c r="G302" s="2" t="s">
        <v>21</v>
      </c>
      <c r="H302" s="15">
        <f t="shared" si="8"/>
        <v>0</v>
      </c>
      <c r="I302" s="2" t="s">
        <v>21</v>
      </c>
      <c r="J302" s="15">
        <f>IF(Form_Responses1[[#This Row],[hoi_chung_vanh_man]]="Không", 0, 1)</f>
        <v>0</v>
      </c>
      <c r="K302" s="2" t="s">
        <v>21</v>
      </c>
      <c r="L302" s="15">
        <f>IF(Form_Responses1[[#This Row],[ckd]]="Không", 0, 1)</f>
        <v>0</v>
      </c>
      <c r="M302" s="2" t="s">
        <v>21</v>
      </c>
      <c r="N302" s="15">
        <f t="shared" si="9"/>
        <v>0</v>
      </c>
      <c r="O302" s="2" t="s">
        <v>21</v>
      </c>
      <c r="P302" s="15">
        <f>IF(Form_Responses1[[#This Row],[phan_loai_the_lam_sang]]="Suy tim mất bù cấp", 1,0)</f>
        <v>0</v>
      </c>
      <c r="Q302" s="15">
        <f>IF(Form_Responses1[[#This Row],[phan_loai_the_lam_sang]]="Phù phổi cấp", 1, 0)</f>
        <v>0</v>
      </c>
      <c r="R302" s="15">
        <f>IF(Form_Responses1[[#This Row],[phan_loai_the_lam_sang]]="Choáng tim", 1, 0)</f>
        <v>1</v>
      </c>
      <c r="S302" s="2" t="s">
        <v>28</v>
      </c>
      <c r="T302" s="15">
        <v>103</v>
      </c>
      <c r="U302" s="15">
        <v>110</v>
      </c>
      <c r="V302" s="15">
        <v>90</v>
      </c>
      <c r="W302" s="15">
        <f>IF(Form_Responses1[[#This Row],[hcvc]]="Không", 0, 1)</f>
        <v>0</v>
      </c>
      <c r="X302" s="2" t="s">
        <v>21</v>
      </c>
      <c r="Y302" s="15">
        <f>IF(Form_Responses1[[#This Row],[suy_ho_hap]]="Không", 0, 1)</f>
        <v>1</v>
      </c>
      <c r="Z302" s="2" t="s">
        <v>22</v>
      </c>
      <c r="AA302" s="15">
        <f>IF(Form_Responses1[[#This Row],[rung_nhi]]="Không", 0, 1)</f>
        <v>0</v>
      </c>
      <c r="AB302" s="2" t="s">
        <v>21</v>
      </c>
      <c r="AC302" s="15">
        <v>450</v>
      </c>
      <c r="AD302" s="15">
        <v>0.14000000000000001</v>
      </c>
      <c r="AE302" s="15">
        <v>11.39</v>
      </c>
      <c r="AF302" s="15">
        <v>125</v>
      </c>
      <c r="AG302" s="15">
        <v>179</v>
      </c>
      <c r="AH302" s="15">
        <v>130</v>
      </c>
      <c r="AI302" s="15">
        <v>3.3</v>
      </c>
      <c r="AJ302" s="15">
        <v>19</v>
      </c>
      <c r="AK302" s="15">
        <v>1.1299999999999999</v>
      </c>
      <c r="AL302" s="2" t="s">
        <v>21</v>
      </c>
      <c r="AM302" s="28">
        <v>10568</v>
      </c>
      <c r="AN302" s="6">
        <f>IF(Form_Responses1[[#This Row],[NT_proBNP &gt; 35000]]="Có", 35001, Form_Responses1[[#This Row],[NT_ProBNP]])</f>
        <v>10568</v>
      </c>
      <c r="AO302" s="27">
        <f>IF(Form_Responses1[[#This Row],[NT_proBNP &gt; 35000]]="Có", 1, 0)</f>
        <v>0</v>
      </c>
      <c r="AP302" s="15">
        <v>38398.9</v>
      </c>
      <c r="AQ302" s="15">
        <v>224</v>
      </c>
      <c r="AR302" s="15">
        <v>157</v>
      </c>
      <c r="AS302" s="15">
        <v>282</v>
      </c>
      <c r="AT302" s="15">
        <v>32</v>
      </c>
      <c r="AU302" s="15">
        <v>44.5</v>
      </c>
      <c r="AV302" s="15">
        <v>52.6</v>
      </c>
      <c r="AW302" s="15">
        <v>20</v>
      </c>
      <c r="AX302" s="27">
        <v>26</v>
      </c>
      <c r="AY302" s="29">
        <f>IF(Form_Responses1[[#This Row],[ket_cuc]]="Không tử vong", 0, 1)</f>
        <v>1</v>
      </c>
      <c r="AZ302" s="2" t="s">
        <v>29</v>
      </c>
      <c r="BA302" s="32">
        <v>43</v>
      </c>
      <c r="BB302" s="32">
        <v>3.7115456928278896E-2</v>
      </c>
    </row>
    <row r="303" spans="1:54" ht="13" x14ac:dyDescent="0.15">
      <c r="A303" s="1" t="s">
        <v>251</v>
      </c>
      <c r="B303" s="6">
        <v>30</v>
      </c>
      <c r="C303" s="6">
        <f>IF(Form_Responses1[[#This Row],[gioi_tinh]]="Nữ", 0, 1)</f>
        <v>0</v>
      </c>
      <c r="D303" s="1" t="s">
        <v>20</v>
      </c>
      <c r="E303" s="6">
        <v>19.100000000000001</v>
      </c>
      <c r="F303" s="6">
        <f>IF(Form_Responses1[[#This Row],[dai_thao_duong]]="Không", 0, 1)</f>
        <v>0</v>
      </c>
      <c r="G303" s="1" t="s">
        <v>21</v>
      </c>
      <c r="H303" s="6">
        <f t="shared" si="8"/>
        <v>0</v>
      </c>
      <c r="I303" s="1" t="s">
        <v>21</v>
      </c>
      <c r="J303" s="6">
        <f>IF(Form_Responses1[[#This Row],[hoi_chung_vanh_man]]="Không", 0, 1)</f>
        <v>0</v>
      </c>
      <c r="K303" s="1" t="s">
        <v>21</v>
      </c>
      <c r="L303" s="6">
        <f>IF(Form_Responses1[[#This Row],[ckd]]="Không", 0, 1)</f>
        <v>0</v>
      </c>
      <c r="M303" s="1" t="s">
        <v>21</v>
      </c>
      <c r="N303" s="6">
        <f t="shared" si="9"/>
        <v>0</v>
      </c>
      <c r="O303" s="1" t="s">
        <v>21</v>
      </c>
      <c r="P303" s="6">
        <f>IF(Form_Responses1[[#This Row],[phan_loai_the_lam_sang]]="Suy tim mất bù cấp", 1,0)</f>
        <v>1</v>
      </c>
      <c r="Q303" s="6">
        <f>IF(Form_Responses1[[#This Row],[phan_loai_the_lam_sang]]="Phù phổi cấp", 1, 0)</f>
        <v>0</v>
      </c>
      <c r="R303" s="6">
        <f>IF(Form_Responses1[[#This Row],[phan_loai_the_lam_sang]]="Choáng tim", 1, 0)</f>
        <v>0</v>
      </c>
      <c r="S303" s="1" t="s">
        <v>23</v>
      </c>
      <c r="T303" s="6">
        <v>90</v>
      </c>
      <c r="U303" s="6">
        <v>150</v>
      </c>
      <c r="V303" s="6">
        <v>90</v>
      </c>
      <c r="W303" s="6">
        <f>IF(Form_Responses1[[#This Row],[hcvc]]="Không", 0, 1)</f>
        <v>0</v>
      </c>
      <c r="X303" s="1" t="s">
        <v>21</v>
      </c>
      <c r="Y303" s="6">
        <f>IF(Form_Responses1[[#This Row],[suy_ho_hap]]="Không", 0, 1)</f>
        <v>1</v>
      </c>
      <c r="Z303" s="1" t="s">
        <v>22</v>
      </c>
      <c r="AA303" s="6">
        <f>IF(Form_Responses1[[#This Row],[rung_nhi]]="Không", 0, 1)</f>
        <v>0</v>
      </c>
      <c r="AB303" s="1" t="s">
        <v>21</v>
      </c>
      <c r="AC303" s="6">
        <v>485</v>
      </c>
      <c r="AD303" s="6">
        <v>0.08</v>
      </c>
      <c r="AE303" s="6">
        <v>7.11</v>
      </c>
      <c r="AF303" s="6">
        <v>102</v>
      </c>
      <c r="AG303" s="6">
        <v>307</v>
      </c>
      <c r="AH303" s="6">
        <v>138</v>
      </c>
      <c r="AI303" s="6">
        <v>4.0999999999999996</v>
      </c>
      <c r="AJ303" s="6">
        <v>20</v>
      </c>
      <c r="AK303" s="6">
        <v>0.96</v>
      </c>
      <c r="AL303" s="1" t="s">
        <v>22</v>
      </c>
      <c r="AM303" s="10"/>
      <c r="AN303" s="6">
        <f>IF(Form_Responses1[[#This Row],[NT_proBNP &gt; 35000]]="Có", 35001, Form_Responses1[[#This Row],[NT_ProBNP]])</f>
        <v>35001</v>
      </c>
      <c r="AO303" s="13">
        <f>IF(Form_Responses1[[#This Row],[NT_proBNP &gt; 35000]]="Có", 1, 0)</f>
        <v>1</v>
      </c>
      <c r="AP303" s="6">
        <v>17.3</v>
      </c>
      <c r="AQ303" s="6">
        <v>38</v>
      </c>
      <c r="AR303" s="6">
        <v>22</v>
      </c>
      <c r="AT303" s="6">
        <v>31</v>
      </c>
      <c r="AU303" s="6">
        <v>50</v>
      </c>
      <c r="AV303" s="6">
        <v>54</v>
      </c>
      <c r="AW303" s="6">
        <v>19</v>
      </c>
      <c r="AX303" s="6">
        <v>45</v>
      </c>
      <c r="AY303" s="24">
        <f>IF(Form_Responses1[[#This Row],[ket_cuc]]="Không tử vong", 0, 1)</f>
        <v>0</v>
      </c>
      <c r="AZ303" s="1" t="s">
        <v>24</v>
      </c>
      <c r="BA303" s="32">
        <v>27</v>
      </c>
      <c r="BB303" s="32">
        <v>1.8324892938933E-2</v>
      </c>
    </row>
    <row r="304" spans="1:54" s="5" customFormat="1" ht="13" x14ac:dyDescent="0.15">
      <c r="A304" s="2" t="s">
        <v>165</v>
      </c>
      <c r="B304" s="15">
        <v>62</v>
      </c>
      <c r="C304" s="15">
        <f>IF(Form_Responses1[[#This Row],[gioi_tinh]]="Nữ", 0, 1)</f>
        <v>1</v>
      </c>
      <c r="D304" s="2" t="s">
        <v>26</v>
      </c>
      <c r="E304" s="15">
        <v>20</v>
      </c>
      <c r="F304" s="15">
        <f>IF(Form_Responses1[[#This Row],[dai_thao_duong]]="Không", 0, 1)</f>
        <v>0</v>
      </c>
      <c r="G304" s="2" t="s">
        <v>21</v>
      </c>
      <c r="H304" s="15">
        <f t="shared" si="8"/>
        <v>0</v>
      </c>
      <c r="I304" s="2" t="s">
        <v>21</v>
      </c>
      <c r="J304" s="15">
        <f>IF(Form_Responses1[[#This Row],[hoi_chung_vanh_man]]="Không", 0, 1)</f>
        <v>0</v>
      </c>
      <c r="K304" s="2" t="s">
        <v>21</v>
      </c>
      <c r="L304" s="15">
        <f>IF(Form_Responses1[[#This Row],[ckd]]="Không", 0, 1)</f>
        <v>0</v>
      </c>
      <c r="M304" s="2" t="s">
        <v>21</v>
      </c>
      <c r="N304" s="15">
        <f t="shared" si="9"/>
        <v>0</v>
      </c>
      <c r="O304" s="2" t="s">
        <v>21</v>
      </c>
      <c r="P304" s="15">
        <f>IF(Form_Responses1[[#This Row],[phan_loai_the_lam_sang]]="Suy tim mất bù cấp", 1,0)</f>
        <v>1</v>
      </c>
      <c r="Q304" s="15">
        <f>IF(Form_Responses1[[#This Row],[phan_loai_the_lam_sang]]="Phù phổi cấp", 1, 0)</f>
        <v>0</v>
      </c>
      <c r="R304" s="15">
        <f>IF(Form_Responses1[[#This Row],[phan_loai_the_lam_sang]]="Choáng tim", 1, 0)</f>
        <v>0</v>
      </c>
      <c r="S304" s="2" t="s">
        <v>23</v>
      </c>
      <c r="T304" s="15">
        <v>135</v>
      </c>
      <c r="U304" s="15">
        <v>130</v>
      </c>
      <c r="V304" s="15">
        <v>90</v>
      </c>
      <c r="W304" s="15">
        <f>IF(Form_Responses1[[#This Row],[hcvc]]="Không", 0, 1)</f>
        <v>0</v>
      </c>
      <c r="X304" s="2" t="s">
        <v>21</v>
      </c>
      <c r="Y304" s="15">
        <f>IF(Form_Responses1[[#This Row],[suy_ho_hap]]="Không", 0, 1)</f>
        <v>1</v>
      </c>
      <c r="Z304" s="2" t="s">
        <v>22</v>
      </c>
      <c r="AA304" s="15">
        <f>IF(Form_Responses1[[#This Row],[rung_nhi]]="Không", 0, 1)</f>
        <v>1</v>
      </c>
      <c r="AB304" s="2" t="s">
        <v>22</v>
      </c>
      <c r="AC304" s="15">
        <v>394</v>
      </c>
      <c r="AD304" s="15">
        <v>0.09</v>
      </c>
      <c r="AE304" s="15">
        <v>8.19</v>
      </c>
      <c r="AF304" s="15">
        <v>90</v>
      </c>
      <c r="AG304" s="15">
        <v>127</v>
      </c>
      <c r="AH304" s="15">
        <v>135</v>
      </c>
      <c r="AI304" s="15">
        <v>5</v>
      </c>
      <c r="AJ304" s="15">
        <v>26.2</v>
      </c>
      <c r="AK304" s="15">
        <v>2.71</v>
      </c>
      <c r="AL304" s="2" t="s">
        <v>22</v>
      </c>
      <c r="AM304" s="12"/>
      <c r="AN304" s="6">
        <f>IF(Form_Responses1[[#This Row],[NT_proBNP &gt; 35000]]="Có", 35001, Form_Responses1[[#This Row],[NT_ProBNP]])</f>
        <v>35001</v>
      </c>
      <c r="AO304" s="18">
        <f>IF(Form_Responses1[[#This Row],[NT_proBNP &gt; 35000]]="Có", 1, 0)</f>
        <v>1</v>
      </c>
      <c r="AP304" s="15">
        <v>41.2</v>
      </c>
      <c r="AQ304" s="27">
        <v>334</v>
      </c>
      <c r="AR304" s="27">
        <v>384</v>
      </c>
      <c r="AS304" s="20"/>
      <c r="AT304" s="27">
        <v>39</v>
      </c>
      <c r="AV304" s="27">
        <v>67.3</v>
      </c>
      <c r="AW304" s="15">
        <v>19</v>
      </c>
      <c r="AX304" s="27">
        <v>42</v>
      </c>
      <c r="AY304" s="29">
        <f>IF(Form_Responses1[[#This Row],[ket_cuc]]="Không tử vong", 0, 1)</f>
        <v>0</v>
      </c>
      <c r="AZ304" s="2" t="s">
        <v>24</v>
      </c>
      <c r="BA304" s="32">
        <v>44</v>
      </c>
      <c r="BB304" s="32">
        <v>8.7987414713824597E-2</v>
      </c>
    </row>
    <row r="305" spans="1:54" s="5" customFormat="1" ht="13" x14ac:dyDescent="0.15">
      <c r="A305" s="1" t="s">
        <v>157</v>
      </c>
      <c r="B305" s="6">
        <v>80</v>
      </c>
      <c r="C305" s="6">
        <f>IF(Form_Responses1[[#This Row],[gioi_tinh]]="Nữ", 0, 1)</f>
        <v>1</v>
      </c>
      <c r="D305" s="1" t="s">
        <v>26</v>
      </c>
      <c r="E305" s="6">
        <v>21.5</v>
      </c>
      <c r="F305" s="6">
        <f>IF(Form_Responses1[[#This Row],[dai_thao_duong]]="Không", 0, 1)</f>
        <v>1</v>
      </c>
      <c r="G305" s="1" t="s">
        <v>22</v>
      </c>
      <c r="H305" s="6">
        <f t="shared" si="8"/>
        <v>1</v>
      </c>
      <c r="I305" s="1" t="s">
        <v>22</v>
      </c>
      <c r="J305" s="6">
        <f>IF(Form_Responses1[[#This Row],[hoi_chung_vanh_man]]="Không", 0, 1)</f>
        <v>0</v>
      </c>
      <c r="K305" s="1" t="s">
        <v>21</v>
      </c>
      <c r="L305" s="6">
        <f>IF(Form_Responses1[[#This Row],[ckd]]="Không", 0, 1)</f>
        <v>0</v>
      </c>
      <c r="M305" s="1" t="s">
        <v>21</v>
      </c>
      <c r="N305" s="6">
        <f t="shared" si="9"/>
        <v>0</v>
      </c>
      <c r="O305" s="1" t="s">
        <v>21</v>
      </c>
      <c r="P305" s="6">
        <f>IF(Form_Responses1[[#This Row],[phan_loai_the_lam_sang]]="Suy tim mất bù cấp", 1,0)</f>
        <v>1</v>
      </c>
      <c r="Q305" s="6">
        <f>IF(Form_Responses1[[#This Row],[phan_loai_the_lam_sang]]="Phù phổi cấp", 1, 0)</f>
        <v>0</v>
      </c>
      <c r="R305" s="6">
        <f>IF(Form_Responses1[[#This Row],[phan_loai_the_lam_sang]]="Choáng tim", 1, 0)</f>
        <v>0</v>
      </c>
      <c r="S305" s="1" t="s">
        <v>23</v>
      </c>
      <c r="T305" s="6">
        <v>89</v>
      </c>
      <c r="U305" s="6">
        <v>180</v>
      </c>
      <c r="V305" s="6">
        <v>100</v>
      </c>
      <c r="W305" s="6">
        <f>IF(Form_Responses1[[#This Row],[hcvc]]="Không", 0, 1)</f>
        <v>0</v>
      </c>
      <c r="X305" s="1" t="s">
        <v>21</v>
      </c>
      <c r="Y305" s="6">
        <f>IF(Form_Responses1[[#This Row],[suy_ho_hap]]="Không", 0, 1)</f>
        <v>1</v>
      </c>
      <c r="Z305" s="1" t="s">
        <v>22</v>
      </c>
      <c r="AA305" s="6">
        <f>IF(Form_Responses1[[#This Row],[rung_nhi]]="Không", 0, 1)</f>
        <v>0</v>
      </c>
      <c r="AB305" s="1" t="s">
        <v>21</v>
      </c>
      <c r="AC305" s="6">
        <v>485</v>
      </c>
      <c r="AD305" s="6">
        <v>0.08</v>
      </c>
      <c r="AE305" s="6">
        <v>8.89</v>
      </c>
      <c r="AF305" s="6">
        <v>137</v>
      </c>
      <c r="AG305" s="6">
        <v>128</v>
      </c>
      <c r="AH305" s="6">
        <v>138</v>
      </c>
      <c r="AI305" s="6">
        <v>2.9</v>
      </c>
      <c r="AJ305" s="6">
        <v>28</v>
      </c>
      <c r="AK305" s="6">
        <v>1.53</v>
      </c>
      <c r="AL305" s="1" t="s">
        <v>22</v>
      </c>
      <c r="AM305" s="10"/>
      <c r="AN305" s="6">
        <f>IF(Form_Responses1[[#This Row],[NT_proBNP &gt; 35000]]="Có", 35001, Form_Responses1[[#This Row],[NT_ProBNP]])</f>
        <v>35001</v>
      </c>
      <c r="AO305" s="13">
        <f>IF(Form_Responses1[[#This Row],[NT_proBNP &gt; 35000]]="Có", 1, 0)</f>
        <v>1</v>
      </c>
      <c r="AP305" s="6">
        <v>157.80000000000001</v>
      </c>
      <c r="AQ305" s="6">
        <v>789</v>
      </c>
      <c r="AR305" s="6">
        <v>314</v>
      </c>
      <c r="AS305" s="27">
        <v>117</v>
      </c>
      <c r="AT305" s="6">
        <v>26.4</v>
      </c>
      <c r="AU305" s="6">
        <v>48.3</v>
      </c>
      <c r="AV305" s="6">
        <v>56</v>
      </c>
      <c r="AW305" s="6">
        <v>19</v>
      </c>
      <c r="AX305" s="27">
        <v>75</v>
      </c>
      <c r="AY305" s="29">
        <f>IF(Form_Responses1[[#This Row],[ket_cuc]]="Không tử vong", 0, 1)</f>
        <v>0</v>
      </c>
      <c r="AZ305" s="1" t="s">
        <v>24</v>
      </c>
      <c r="BA305" s="32">
        <v>34</v>
      </c>
      <c r="BB305" s="32">
        <v>7.0666239610748888E-2</v>
      </c>
    </row>
    <row r="306" spans="1:54" ht="13" x14ac:dyDescent="0.15">
      <c r="A306" s="2" t="s">
        <v>112</v>
      </c>
      <c r="B306" s="15">
        <v>48</v>
      </c>
      <c r="C306" s="15">
        <f>IF(Form_Responses1[[#This Row],[gioi_tinh]]="Nữ", 0, 1)</f>
        <v>1</v>
      </c>
      <c r="D306" s="2" t="s">
        <v>26</v>
      </c>
      <c r="E306" s="15">
        <v>22.9</v>
      </c>
      <c r="F306" s="15">
        <f>IF(Form_Responses1[[#This Row],[dai_thao_duong]]="Không", 0, 1)</f>
        <v>0</v>
      </c>
      <c r="G306" s="2" t="s">
        <v>21</v>
      </c>
      <c r="H306" s="15">
        <f t="shared" si="8"/>
        <v>0</v>
      </c>
      <c r="I306" s="2" t="s">
        <v>21</v>
      </c>
      <c r="J306" s="15">
        <f>IF(Form_Responses1[[#This Row],[hoi_chung_vanh_man]]="Không", 0, 1)</f>
        <v>0</v>
      </c>
      <c r="K306" s="2" t="s">
        <v>21</v>
      </c>
      <c r="L306" s="15">
        <f>IF(Form_Responses1[[#This Row],[ckd]]="Không", 0, 1)</f>
        <v>0</v>
      </c>
      <c r="M306" s="2" t="s">
        <v>21</v>
      </c>
      <c r="N306" s="15">
        <f t="shared" si="9"/>
        <v>0</v>
      </c>
      <c r="O306" s="2" t="s">
        <v>21</v>
      </c>
      <c r="P306" s="15">
        <f>IF(Form_Responses1[[#This Row],[phan_loai_the_lam_sang]]="Suy tim mất bù cấp", 1,0)</f>
        <v>1</v>
      </c>
      <c r="Q306" s="15">
        <f>IF(Form_Responses1[[#This Row],[phan_loai_the_lam_sang]]="Phù phổi cấp", 1, 0)</f>
        <v>0</v>
      </c>
      <c r="R306" s="15">
        <f>IF(Form_Responses1[[#This Row],[phan_loai_the_lam_sang]]="Choáng tim", 1, 0)</f>
        <v>0</v>
      </c>
      <c r="S306" s="2" t="s">
        <v>23</v>
      </c>
      <c r="T306" s="15">
        <v>110</v>
      </c>
      <c r="U306" s="15">
        <v>100</v>
      </c>
      <c r="V306" s="15">
        <v>60</v>
      </c>
      <c r="W306" s="15">
        <f>IF(Form_Responses1[[#This Row],[hcvc]]="Không", 0, 1)</f>
        <v>0</v>
      </c>
      <c r="X306" s="2" t="s">
        <v>21</v>
      </c>
      <c r="Y306" s="15">
        <f>IF(Form_Responses1[[#This Row],[suy_ho_hap]]="Không", 0, 1)</f>
        <v>0</v>
      </c>
      <c r="Z306" s="2" t="s">
        <v>21</v>
      </c>
      <c r="AA306" s="15">
        <f>IF(Form_Responses1[[#This Row],[rung_nhi]]="Không", 0, 1)</f>
        <v>0</v>
      </c>
      <c r="AB306" s="2" t="s">
        <v>21</v>
      </c>
      <c r="AC306" s="15">
        <v>413</v>
      </c>
      <c r="AD306" s="15">
        <v>7.0000000000000007E-2</v>
      </c>
      <c r="AE306" s="15">
        <v>9.89</v>
      </c>
      <c r="AF306" s="15">
        <v>152</v>
      </c>
      <c r="AG306" s="15">
        <v>135</v>
      </c>
      <c r="AH306" s="15">
        <v>117</v>
      </c>
      <c r="AI306" s="15">
        <v>4.4000000000000004</v>
      </c>
      <c r="AJ306" s="15">
        <v>17</v>
      </c>
      <c r="AK306" s="15">
        <v>0.88</v>
      </c>
      <c r="AL306" s="2" t="s">
        <v>21</v>
      </c>
      <c r="AM306" s="28">
        <v>2617.4</v>
      </c>
      <c r="AN306" s="6">
        <f>IF(Form_Responses1[[#This Row],[NT_proBNP &gt; 35000]]="Có", 35001, Form_Responses1[[#This Row],[NT_ProBNP]])</f>
        <v>2617.4</v>
      </c>
      <c r="AO306" s="27">
        <f>IF(Form_Responses1[[#This Row],[NT_proBNP &gt; 35000]]="Có", 1, 0)</f>
        <v>0</v>
      </c>
      <c r="AP306" s="18"/>
      <c r="AQ306" s="15">
        <v>40</v>
      </c>
      <c r="AR306" s="15">
        <v>12</v>
      </c>
      <c r="AS306" s="15">
        <v>147</v>
      </c>
      <c r="AT306" s="15">
        <v>41</v>
      </c>
      <c r="AU306" s="15">
        <v>44</v>
      </c>
      <c r="AV306" s="15">
        <v>54</v>
      </c>
      <c r="AW306" s="15">
        <v>19</v>
      </c>
      <c r="AX306" s="27">
        <v>23</v>
      </c>
      <c r="AY306" s="29">
        <f>IF(Form_Responses1[[#This Row],[ket_cuc]]="Không tử vong", 0, 1)</f>
        <v>0</v>
      </c>
      <c r="AZ306" s="2" t="s">
        <v>24</v>
      </c>
      <c r="BA306" s="32">
        <v>44</v>
      </c>
      <c r="BB306" s="32">
        <v>6.3673248227253648E-2</v>
      </c>
    </row>
    <row r="307" spans="1:54" ht="13" x14ac:dyDescent="0.15">
      <c r="A307" s="1" t="s">
        <v>27</v>
      </c>
      <c r="B307" s="6">
        <v>62</v>
      </c>
      <c r="C307" s="6">
        <f>IF(Form_Responses1[[#This Row],[gioi_tinh]]="Nữ", 0, 1)</f>
        <v>1</v>
      </c>
      <c r="D307" s="1" t="s">
        <v>26</v>
      </c>
      <c r="E307" s="6">
        <v>22.78</v>
      </c>
      <c r="F307" s="6">
        <f>IF(Form_Responses1[[#This Row],[dai_thao_duong]]="Không", 0, 1)</f>
        <v>0</v>
      </c>
      <c r="G307" s="1" t="s">
        <v>21</v>
      </c>
      <c r="H307" s="6">
        <f t="shared" si="8"/>
        <v>0</v>
      </c>
      <c r="I307" s="1" t="s">
        <v>21</v>
      </c>
      <c r="J307" s="6">
        <f>IF(Form_Responses1[[#This Row],[hoi_chung_vanh_man]]="Không", 0, 1)</f>
        <v>1</v>
      </c>
      <c r="K307" s="1" t="s">
        <v>22</v>
      </c>
      <c r="L307" s="6">
        <f>IF(Form_Responses1[[#This Row],[ckd]]="Không", 0, 1)</f>
        <v>0</v>
      </c>
      <c r="M307" s="1" t="s">
        <v>21</v>
      </c>
      <c r="N307" s="6">
        <f t="shared" si="9"/>
        <v>0</v>
      </c>
      <c r="O307" s="1" t="s">
        <v>21</v>
      </c>
      <c r="P307" s="6">
        <f>IF(Form_Responses1[[#This Row],[phan_loai_the_lam_sang]]="Suy tim mất bù cấp", 1,0)</f>
        <v>0</v>
      </c>
      <c r="Q307" s="6">
        <f>IF(Form_Responses1[[#This Row],[phan_loai_the_lam_sang]]="Phù phổi cấp", 1, 0)</f>
        <v>0</v>
      </c>
      <c r="R307" s="6">
        <f>IF(Form_Responses1[[#This Row],[phan_loai_the_lam_sang]]="Choáng tim", 1, 0)</f>
        <v>1</v>
      </c>
      <c r="S307" s="1" t="s">
        <v>28</v>
      </c>
      <c r="T307" s="6">
        <v>74</v>
      </c>
      <c r="U307" s="6">
        <v>70</v>
      </c>
      <c r="V307" s="6">
        <v>40</v>
      </c>
      <c r="W307" s="6">
        <f>IF(Form_Responses1[[#This Row],[hcvc]]="Không", 0, 1)</f>
        <v>0</v>
      </c>
      <c r="X307" s="1" t="s">
        <v>21</v>
      </c>
      <c r="Y307" s="6">
        <f>IF(Form_Responses1[[#This Row],[suy_ho_hap]]="Không", 0, 1)</f>
        <v>1</v>
      </c>
      <c r="Z307" s="1" t="s">
        <v>22</v>
      </c>
      <c r="AA307" s="6">
        <f>IF(Form_Responses1[[#This Row],[rung_nhi]]="Không", 0, 1)</f>
        <v>0</v>
      </c>
      <c r="AB307" s="1" t="s">
        <v>21</v>
      </c>
      <c r="AC307" s="6">
        <v>436</v>
      </c>
      <c r="AD307" s="6">
        <v>0.08</v>
      </c>
      <c r="AE307" s="6">
        <v>7.78</v>
      </c>
      <c r="AF307" s="6">
        <v>110</v>
      </c>
      <c r="AG307" s="6">
        <v>329</v>
      </c>
      <c r="AH307" s="6">
        <v>132</v>
      </c>
      <c r="AI307" s="6">
        <v>4.8</v>
      </c>
      <c r="AJ307" s="6">
        <v>28.97</v>
      </c>
      <c r="AK307" s="6">
        <v>3.23</v>
      </c>
      <c r="AL307" s="1" t="s">
        <v>21</v>
      </c>
      <c r="AM307" s="1">
        <v>35000</v>
      </c>
      <c r="AN307" s="6">
        <f>IF(Form_Responses1[[#This Row],[NT_proBNP &gt; 35000]]="Có", 35001, Form_Responses1[[#This Row],[NT_ProBNP]])</f>
        <v>35000</v>
      </c>
      <c r="AO307" s="6">
        <f>IF(Form_Responses1[[#This Row],[NT_proBNP &gt; 35000]]="Có", 1, 0)</f>
        <v>0</v>
      </c>
      <c r="AP307" s="6">
        <v>41.26</v>
      </c>
      <c r="AQ307" s="6">
        <v>26</v>
      </c>
      <c r="AR307" s="6">
        <v>16</v>
      </c>
      <c r="AS307" s="6">
        <v>96</v>
      </c>
      <c r="AT307" s="6">
        <v>52</v>
      </c>
      <c r="AU307" s="6">
        <v>59</v>
      </c>
      <c r="AV307" s="6">
        <v>67</v>
      </c>
      <c r="AW307" s="6">
        <v>19</v>
      </c>
      <c r="AX307" s="27">
        <v>24</v>
      </c>
      <c r="AY307" s="29">
        <f>IF(Form_Responses1[[#This Row],[ket_cuc]]="Không tử vong", 0, 1)</f>
        <v>1</v>
      </c>
      <c r="AZ307" s="1" t="s">
        <v>29</v>
      </c>
      <c r="BA307" s="32">
        <v>48</v>
      </c>
      <c r="BB307" s="32">
        <v>0.10727949652369222</v>
      </c>
    </row>
    <row r="308" spans="1:54" ht="13" x14ac:dyDescent="0.15">
      <c r="A308" s="2" t="s">
        <v>273</v>
      </c>
      <c r="B308" s="15">
        <v>58</v>
      </c>
      <c r="C308" s="15">
        <f>IF(Form_Responses1[[#This Row],[gioi_tinh]]="Nữ", 0, 1)</f>
        <v>1</v>
      </c>
      <c r="D308" s="2" t="s">
        <v>26</v>
      </c>
      <c r="E308" s="15">
        <v>21.5</v>
      </c>
      <c r="F308" s="15">
        <f>IF(Form_Responses1[[#This Row],[dai_thao_duong]]="Không", 0, 1)</f>
        <v>0</v>
      </c>
      <c r="G308" s="2" t="s">
        <v>21</v>
      </c>
      <c r="H308" s="15">
        <f t="shared" si="8"/>
        <v>0</v>
      </c>
      <c r="I308" s="2" t="s">
        <v>21</v>
      </c>
      <c r="J308" s="15">
        <f>IF(Form_Responses1[[#This Row],[hoi_chung_vanh_man]]="Không", 0, 1)</f>
        <v>0</v>
      </c>
      <c r="K308" s="2" t="s">
        <v>21</v>
      </c>
      <c r="L308" s="15">
        <f>IF(Form_Responses1[[#This Row],[ckd]]="Không", 0, 1)</f>
        <v>0</v>
      </c>
      <c r="M308" s="2" t="s">
        <v>21</v>
      </c>
      <c r="N308" s="15">
        <f t="shared" si="9"/>
        <v>0</v>
      </c>
      <c r="O308" s="2" t="s">
        <v>21</v>
      </c>
      <c r="P308" s="15">
        <f>IF(Form_Responses1[[#This Row],[phan_loai_the_lam_sang]]="Suy tim mất bù cấp", 1,0)</f>
        <v>0</v>
      </c>
      <c r="Q308" s="15">
        <f>IF(Form_Responses1[[#This Row],[phan_loai_the_lam_sang]]="Phù phổi cấp", 1, 0)</f>
        <v>0</v>
      </c>
      <c r="R308" s="15">
        <f>IF(Form_Responses1[[#This Row],[phan_loai_the_lam_sang]]="Choáng tim", 1, 0)</f>
        <v>1</v>
      </c>
      <c r="S308" s="2" t="s">
        <v>28</v>
      </c>
      <c r="T308" s="15">
        <v>96</v>
      </c>
      <c r="U308" s="15">
        <v>100</v>
      </c>
      <c r="V308" s="15">
        <v>60</v>
      </c>
      <c r="W308" s="15">
        <f>IF(Form_Responses1[[#This Row],[hcvc]]="Không", 0, 1)</f>
        <v>1</v>
      </c>
      <c r="X308" s="2" t="s">
        <v>22</v>
      </c>
      <c r="Y308" s="15">
        <f>IF(Form_Responses1[[#This Row],[suy_ho_hap]]="Không", 0, 1)</f>
        <v>1</v>
      </c>
      <c r="Z308" s="2" t="s">
        <v>22</v>
      </c>
      <c r="AA308" s="15">
        <f>IF(Form_Responses1[[#This Row],[rung_nhi]]="Không", 0, 1)</f>
        <v>0</v>
      </c>
      <c r="AB308" s="2" t="s">
        <v>21</v>
      </c>
      <c r="AC308" s="15">
        <v>377</v>
      </c>
      <c r="AD308" s="15">
        <v>7.0000000000000007E-2</v>
      </c>
      <c r="AE308" s="15">
        <v>15.1</v>
      </c>
      <c r="AF308" s="15">
        <v>125</v>
      </c>
      <c r="AG308" s="15">
        <v>287</v>
      </c>
      <c r="AH308" s="15">
        <v>143</v>
      </c>
      <c r="AI308" s="15">
        <v>3.6</v>
      </c>
      <c r="AJ308" s="15">
        <v>23</v>
      </c>
      <c r="AK308" s="15">
        <v>0.84</v>
      </c>
      <c r="AL308" s="2" t="s">
        <v>21</v>
      </c>
      <c r="AM308" s="2">
        <v>3662.59</v>
      </c>
      <c r="AN308" s="6">
        <f>IF(Form_Responses1[[#This Row],[NT_proBNP &gt; 35000]]="Có", 35001, Form_Responses1[[#This Row],[NT_ProBNP]])</f>
        <v>3662.59</v>
      </c>
      <c r="AO308" s="15">
        <f>IF(Form_Responses1[[#This Row],[NT_proBNP &gt; 35000]]="Có", 1, 0)</f>
        <v>0</v>
      </c>
      <c r="AP308" s="15">
        <v>41425.1</v>
      </c>
      <c r="AQ308" s="15">
        <v>210</v>
      </c>
      <c r="AR308" s="15">
        <v>556</v>
      </c>
      <c r="AS308" s="15">
        <v>117</v>
      </c>
      <c r="AT308" s="18"/>
      <c r="AU308" s="15">
        <v>48.7</v>
      </c>
      <c r="AV308" s="15">
        <v>53.4</v>
      </c>
      <c r="AW308" s="15">
        <v>19</v>
      </c>
      <c r="AY308" s="25">
        <f>IF(Form_Responses1[[#This Row],[ket_cuc]]="Không tử vong", 0, 1)</f>
        <v>0</v>
      </c>
      <c r="AZ308" s="2" t="s">
        <v>24</v>
      </c>
      <c r="BA308" s="32">
        <v>42</v>
      </c>
      <c r="BB308" s="32">
        <v>7.8971787486880149E-2</v>
      </c>
    </row>
    <row r="309" spans="1:54" ht="13" x14ac:dyDescent="0.15">
      <c r="A309" s="1" t="s">
        <v>298</v>
      </c>
      <c r="B309" s="6">
        <v>73</v>
      </c>
      <c r="C309" s="6">
        <f>IF(Form_Responses1[[#This Row],[gioi_tinh]]="Nữ", 0, 1)</f>
        <v>1</v>
      </c>
      <c r="D309" s="1" t="s">
        <v>26</v>
      </c>
      <c r="E309" s="6">
        <v>25.3</v>
      </c>
      <c r="F309" s="6">
        <f>IF(Form_Responses1[[#This Row],[dai_thao_duong]]="Không", 0, 1)</f>
        <v>1</v>
      </c>
      <c r="G309" s="1" t="s">
        <v>22</v>
      </c>
      <c r="H309" s="6">
        <f t="shared" si="8"/>
        <v>0</v>
      </c>
      <c r="I309" s="1" t="s">
        <v>21</v>
      </c>
      <c r="J309" s="6">
        <f>IF(Form_Responses1[[#This Row],[hoi_chung_vanh_man]]="Không", 0, 1)</f>
        <v>1</v>
      </c>
      <c r="K309" s="1" t="s">
        <v>22</v>
      </c>
      <c r="L309" s="6">
        <f>IF(Form_Responses1[[#This Row],[ckd]]="Không", 0, 1)</f>
        <v>1</v>
      </c>
      <c r="M309" s="1" t="s">
        <v>22</v>
      </c>
      <c r="N309" s="6">
        <f t="shared" si="9"/>
        <v>0</v>
      </c>
      <c r="O309" s="1" t="s">
        <v>21</v>
      </c>
      <c r="P309" s="6">
        <f>IF(Form_Responses1[[#This Row],[phan_loai_the_lam_sang]]="Suy tim mất bù cấp", 1,0)</f>
        <v>1</v>
      </c>
      <c r="Q309" s="6">
        <f>IF(Form_Responses1[[#This Row],[phan_loai_the_lam_sang]]="Phù phổi cấp", 1, 0)</f>
        <v>0</v>
      </c>
      <c r="R309" s="6">
        <f>IF(Form_Responses1[[#This Row],[phan_loai_the_lam_sang]]="Choáng tim", 1, 0)</f>
        <v>0</v>
      </c>
      <c r="S309" s="1" t="s">
        <v>23</v>
      </c>
      <c r="T309" s="6">
        <v>64</v>
      </c>
      <c r="U309" s="6">
        <v>120</v>
      </c>
      <c r="V309" s="6">
        <v>80</v>
      </c>
      <c r="W309" s="6">
        <f>IF(Form_Responses1[[#This Row],[hcvc]]="Không", 0, 1)</f>
        <v>0</v>
      </c>
      <c r="X309" s="1" t="s">
        <v>21</v>
      </c>
      <c r="Y309" s="6">
        <f>IF(Form_Responses1[[#This Row],[suy_ho_hap]]="Không", 0, 1)</f>
        <v>1</v>
      </c>
      <c r="Z309" s="1" t="s">
        <v>22</v>
      </c>
      <c r="AA309" s="6">
        <f>IF(Form_Responses1[[#This Row],[rung_nhi]]="Không", 0, 1)</f>
        <v>0</v>
      </c>
      <c r="AB309" s="1" t="s">
        <v>21</v>
      </c>
      <c r="AC309" s="6">
        <v>490</v>
      </c>
      <c r="AD309" s="6">
        <v>0.12</v>
      </c>
      <c r="AE309" s="6">
        <v>10.32</v>
      </c>
      <c r="AF309" s="6">
        <v>137</v>
      </c>
      <c r="AG309" s="6">
        <v>164</v>
      </c>
      <c r="AH309" s="6">
        <v>128</v>
      </c>
      <c r="AI309" s="6">
        <v>5.2</v>
      </c>
      <c r="AJ309" s="6">
        <v>13.6</v>
      </c>
      <c r="AK309" s="6">
        <v>2.5099999999999998</v>
      </c>
      <c r="AL309" s="1" t="s">
        <v>21</v>
      </c>
      <c r="AM309" s="1">
        <v>8059.7</v>
      </c>
      <c r="AN309" s="6">
        <f>IF(Form_Responses1[[#This Row],[NT_proBNP &gt; 35000]]="Có", 35001, Form_Responses1[[#This Row],[NT_ProBNP]])</f>
        <v>8059.7</v>
      </c>
      <c r="AO309" s="6">
        <f>IF(Form_Responses1[[#This Row],[NT_proBNP &gt; 35000]]="Có", 1, 0)</f>
        <v>0</v>
      </c>
      <c r="AP309" s="6">
        <v>27.36</v>
      </c>
      <c r="AQ309" s="6">
        <v>28</v>
      </c>
      <c r="AR309" s="6">
        <v>30</v>
      </c>
      <c r="AS309" s="6">
        <v>219</v>
      </c>
      <c r="AT309" s="6">
        <v>50</v>
      </c>
      <c r="AU309" s="6">
        <v>67</v>
      </c>
      <c r="AV309" s="6">
        <v>72</v>
      </c>
      <c r="AW309" s="6">
        <v>18</v>
      </c>
      <c r="AX309" s="27">
        <v>50</v>
      </c>
      <c r="AY309" s="29">
        <f>IF(Form_Responses1[[#This Row],[ket_cuc]]="Không tử vong", 0, 1)</f>
        <v>0</v>
      </c>
      <c r="AZ309" s="1" t="s">
        <v>24</v>
      </c>
      <c r="BA309" s="32">
        <v>41</v>
      </c>
      <c r="BB309" s="32">
        <v>4.6226191160139478E-2</v>
      </c>
    </row>
    <row r="310" spans="1:54" ht="13" x14ac:dyDescent="0.15">
      <c r="A310" s="2" t="s">
        <v>313</v>
      </c>
      <c r="B310" s="15">
        <v>71</v>
      </c>
      <c r="C310" s="15">
        <f>IF(Form_Responses1[[#This Row],[gioi_tinh]]="Nữ", 0, 1)</f>
        <v>1</v>
      </c>
      <c r="D310" s="2" t="s">
        <v>26</v>
      </c>
      <c r="E310" s="15">
        <v>20.3</v>
      </c>
      <c r="F310" s="15">
        <f>IF(Form_Responses1[[#This Row],[dai_thao_duong]]="Không", 0, 1)</f>
        <v>0</v>
      </c>
      <c r="G310" s="2" t="s">
        <v>21</v>
      </c>
      <c r="H310" s="15">
        <f t="shared" si="8"/>
        <v>0</v>
      </c>
      <c r="I310" s="2" t="s">
        <v>21</v>
      </c>
      <c r="J310" s="15">
        <f>IF(Form_Responses1[[#This Row],[hoi_chung_vanh_man]]="Không", 0, 1)</f>
        <v>0</v>
      </c>
      <c r="K310" s="2" t="s">
        <v>21</v>
      </c>
      <c r="L310" s="15">
        <f>IF(Form_Responses1[[#This Row],[ckd]]="Không", 0, 1)</f>
        <v>0</v>
      </c>
      <c r="M310" s="2" t="s">
        <v>21</v>
      </c>
      <c r="N310" s="15">
        <f t="shared" si="9"/>
        <v>0</v>
      </c>
      <c r="O310" s="2" t="s">
        <v>21</v>
      </c>
      <c r="P310" s="15">
        <f>IF(Form_Responses1[[#This Row],[phan_loai_the_lam_sang]]="Suy tim mất bù cấp", 1,0)</f>
        <v>1</v>
      </c>
      <c r="Q310" s="15">
        <f>IF(Form_Responses1[[#This Row],[phan_loai_the_lam_sang]]="Phù phổi cấp", 1, 0)</f>
        <v>0</v>
      </c>
      <c r="R310" s="15">
        <f>IF(Form_Responses1[[#This Row],[phan_loai_the_lam_sang]]="Choáng tim", 1, 0)</f>
        <v>0</v>
      </c>
      <c r="S310" s="2" t="s">
        <v>23</v>
      </c>
      <c r="T310" s="15">
        <v>94</v>
      </c>
      <c r="U310" s="15">
        <v>90</v>
      </c>
      <c r="V310" s="15">
        <v>60</v>
      </c>
      <c r="W310" s="15">
        <f>IF(Form_Responses1[[#This Row],[hcvc]]="Không", 0, 1)</f>
        <v>0</v>
      </c>
      <c r="X310" s="2" t="s">
        <v>21</v>
      </c>
      <c r="Y310" s="15">
        <f>IF(Form_Responses1[[#This Row],[suy_ho_hap]]="Không", 0, 1)</f>
        <v>1</v>
      </c>
      <c r="Z310" s="2" t="s">
        <v>22</v>
      </c>
      <c r="AA310" s="15">
        <f>IF(Form_Responses1[[#This Row],[rung_nhi]]="Không", 0, 1)</f>
        <v>0</v>
      </c>
      <c r="AB310" s="2" t="s">
        <v>21</v>
      </c>
      <c r="AC310" s="15">
        <v>465</v>
      </c>
      <c r="AD310" s="15">
        <v>0.14000000000000001</v>
      </c>
      <c r="AE310" s="15">
        <v>11.84</v>
      </c>
      <c r="AF310" s="15">
        <v>113</v>
      </c>
      <c r="AG310" s="15">
        <v>209</v>
      </c>
      <c r="AH310" s="15">
        <v>136</v>
      </c>
      <c r="AI310" s="15">
        <v>3.7</v>
      </c>
      <c r="AJ310" s="15">
        <v>8.9</v>
      </c>
      <c r="AK310" s="15">
        <v>0.88</v>
      </c>
      <c r="AL310" s="2" t="s">
        <v>21</v>
      </c>
      <c r="AM310" s="28">
        <v>2740.4</v>
      </c>
      <c r="AN310" s="6">
        <f>IF(Form_Responses1[[#This Row],[NT_proBNP &gt; 35000]]="Có", 35001, Form_Responses1[[#This Row],[NT_ProBNP]])</f>
        <v>2740.4</v>
      </c>
      <c r="AO310" s="27">
        <f>IF(Form_Responses1[[#This Row],[NT_proBNP &gt; 35000]]="Có", 1, 0)</f>
        <v>0</v>
      </c>
      <c r="AP310" s="15">
        <v>62.76</v>
      </c>
      <c r="AQ310" s="15">
        <v>97</v>
      </c>
      <c r="AR310" s="15">
        <v>68</v>
      </c>
      <c r="AS310" s="27">
        <v>219</v>
      </c>
      <c r="AT310" s="15">
        <v>46.5</v>
      </c>
      <c r="AU310" s="15">
        <v>53.2</v>
      </c>
      <c r="AV310" s="15">
        <v>61.8</v>
      </c>
      <c r="AW310" s="15">
        <v>18</v>
      </c>
      <c r="AX310" s="15">
        <v>37</v>
      </c>
      <c r="AY310" s="22">
        <f>IF(Form_Responses1[[#This Row],[ket_cuc]]="Không tử vong", 0, 1)</f>
        <v>0</v>
      </c>
      <c r="AZ310" s="2" t="s">
        <v>24</v>
      </c>
      <c r="BA310" s="32">
        <v>47</v>
      </c>
      <c r="BB310" s="32">
        <v>8.2631369742686797E-2</v>
      </c>
    </row>
    <row r="311" spans="1:54" ht="13" x14ac:dyDescent="0.15">
      <c r="A311" s="1" t="s">
        <v>304</v>
      </c>
      <c r="B311" s="6">
        <v>36</v>
      </c>
      <c r="C311" s="6">
        <f>IF(Form_Responses1[[#This Row],[gioi_tinh]]="Nữ", 0, 1)</f>
        <v>1</v>
      </c>
      <c r="D311" s="1" t="s">
        <v>26</v>
      </c>
      <c r="E311" s="6">
        <v>23.4</v>
      </c>
      <c r="F311" s="6">
        <f>IF(Form_Responses1[[#This Row],[dai_thao_duong]]="Không", 0, 1)</f>
        <v>0</v>
      </c>
      <c r="G311" s="1" t="s">
        <v>21</v>
      </c>
      <c r="H311" s="6">
        <f t="shared" si="8"/>
        <v>0</v>
      </c>
      <c r="I311" s="1" t="s">
        <v>21</v>
      </c>
      <c r="J311" s="6">
        <f>IF(Form_Responses1[[#This Row],[hoi_chung_vanh_man]]="Không", 0, 1)</f>
        <v>0</v>
      </c>
      <c r="K311" s="1" t="s">
        <v>21</v>
      </c>
      <c r="L311" s="6">
        <f>IF(Form_Responses1[[#This Row],[ckd]]="Không", 0, 1)</f>
        <v>0</v>
      </c>
      <c r="M311" s="1" t="s">
        <v>21</v>
      </c>
      <c r="N311" s="6">
        <f t="shared" si="9"/>
        <v>0</v>
      </c>
      <c r="O311" s="1" t="s">
        <v>21</v>
      </c>
      <c r="P311" s="6">
        <f>IF(Form_Responses1[[#This Row],[phan_loai_the_lam_sang]]="Suy tim mất bù cấp", 1,0)</f>
        <v>1</v>
      </c>
      <c r="Q311" s="6">
        <f>IF(Form_Responses1[[#This Row],[phan_loai_the_lam_sang]]="Phù phổi cấp", 1, 0)</f>
        <v>0</v>
      </c>
      <c r="R311" s="6">
        <f>IF(Form_Responses1[[#This Row],[phan_loai_the_lam_sang]]="Choáng tim", 1, 0)</f>
        <v>0</v>
      </c>
      <c r="S311" s="1" t="s">
        <v>23</v>
      </c>
      <c r="T311" s="6">
        <v>84</v>
      </c>
      <c r="U311" s="6">
        <v>110</v>
      </c>
      <c r="V311" s="6">
        <v>80</v>
      </c>
      <c r="W311" s="6">
        <f>IF(Form_Responses1[[#This Row],[hcvc]]="Không", 0, 1)</f>
        <v>0</v>
      </c>
      <c r="X311" s="1" t="s">
        <v>21</v>
      </c>
      <c r="Y311" s="6">
        <f>IF(Form_Responses1[[#This Row],[suy_ho_hap]]="Không", 0, 1)</f>
        <v>0</v>
      </c>
      <c r="Z311" s="1" t="s">
        <v>21</v>
      </c>
      <c r="AA311" s="6">
        <f>IF(Form_Responses1[[#This Row],[rung_nhi]]="Không", 0, 1)</f>
        <v>0</v>
      </c>
      <c r="AB311" s="1" t="s">
        <v>21</v>
      </c>
      <c r="AC311" s="6">
        <v>485</v>
      </c>
      <c r="AD311" s="6">
        <v>0.1</v>
      </c>
      <c r="AE311" s="6">
        <v>8.3000000000000007</v>
      </c>
      <c r="AF311" s="6">
        <v>150</v>
      </c>
      <c r="AG311" s="6">
        <v>236</v>
      </c>
      <c r="AH311" s="6">
        <v>129</v>
      </c>
      <c r="AI311" s="6">
        <v>4.7</v>
      </c>
      <c r="AJ311" s="6">
        <v>13.6</v>
      </c>
      <c r="AK311" s="6">
        <v>1.1599999999999999</v>
      </c>
      <c r="AL311" s="1" t="s">
        <v>21</v>
      </c>
      <c r="AM311" s="1">
        <v>4448.8999999999996</v>
      </c>
      <c r="AN311" s="6">
        <f>IF(Form_Responses1[[#This Row],[NT_proBNP &gt; 35000]]="Có", 35001, Form_Responses1[[#This Row],[NT_ProBNP]])</f>
        <v>4448.8999999999996</v>
      </c>
      <c r="AO311" s="6">
        <f>IF(Form_Responses1[[#This Row],[NT_proBNP &gt; 35000]]="Có", 1, 0)</f>
        <v>0</v>
      </c>
      <c r="AP311" s="6">
        <v>75</v>
      </c>
      <c r="AQ311" s="6">
        <v>500</v>
      </c>
      <c r="AR311" s="6">
        <v>646</v>
      </c>
      <c r="AS311" s="6">
        <v>118</v>
      </c>
      <c r="AT311" s="6">
        <v>40</v>
      </c>
      <c r="AU311" s="6">
        <v>65</v>
      </c>
      <c r="AV311" s="6">
        <v>72</v>
      </c>
      <c r="AW311" s="6">
        <v>18</v>
      </c>
      <c r="AX311" s="13"/>
      <c r="AY311" s="23">
        <f>IF(Form_Responses1[[#This Row],[ket_cuc]]="Không tử vong", 0, 1)</f>
        <v>0</v>
      </c>
      <c r="AZ311" s="1" t="s">
        <v>24</v>
      </c>
      <c r="BA311" s="32">
        <v>33</v>
      </c>
      <c r="BB311" s="32">
        <v>2.1238342525543141E-2</v>
      </c>
    </row>
    <row r="312" spans="1:54" ht="13" x14ac:dyDescent="0.15">
      <c r="A312" s="2" t="s">
        <v>181</v>
      </c>
      <c r="B312" s="15">
        <v>73</v>
      </c>
      <c r="C312" s="15">
        <f>IF(Form_Responses1[[#This Row],[gioi_tinh]]="Nữ", 0, 1)</f>
        <v>1</v>
      </c>
      <c r="D312" s="2" t="s">
        <v>26</v>
      </c>
      <c r="E312" s="15">
        <v>23.9</v>
      </c>
      <c r="F312" s="15">
        <f>IF(Form_Responses1[[#This Row],[dai_thao_duong]]="Không", 0, 1)</f>
        <v>1</v>
      </c>
      <c r="G312" s="2" t="s">
        <v>22</v>
      </c>
      <c r="H312" s="15">
        <f t="shared" si="8"/>
        <v>0</v>
      </c>
      <c r="I312" s="2" t="s">
        <v>21</v>
      </c>
      <c r="J312" s="15">
        <f>IF(Form_Responses1[[#This Row],[hoi_chung_vanh_man]]="Không", 0, 1)</f>
        <v>1</v>
      </c>
      <c r="K312" s="2" t="s">
        <v>22</v>
      </c>
      <c r="L312" s="15">
        <f>IF(Form_Responses1[[#This Row],[ckd]]="Không", 0, 1)</f>
        <v>0</v>
      </c>
      <c r="M312" s="2" t="s">
        <v>21</v>
      </c>
      <c r="N312" s="15">
        <f t="shared" si="9"/>
        <v>0</v>
      </c>
      <c r="O312" s="2" t="s">
        <v>21</v>
      </c>
      <c r="P312" s="15">
        <f>IF(Form_Responses1[[#This Row],[phan_loai_the_lam_sang]]="Suy tim mất bù cấp", 1,0)</f>
        <v>0</v>
      </c>
      <c r="Q312" s="15">
        <f>IF(Form_Responses1[[#This Row],[phan_loai_the_lam_sang]]="Phù phổi cấp", 1, 0)</f>
        <v>0</v>
      </c>
      <c r="R312" s="15">
        <f>IF(Form_Responses1[[#This Row],[phan_loai_the_lam_sang]]="Choáng tim", 1, 0)</f>
        <v>1</v>
      </c>
      <c r="S312" s="2" t="s">
        <v>28</v>
      </c>
      <c r="T312" s="15">
        <v>123</v>
      </c>
      <c r="U312" s="15">
        <v>90</v>
      </c>
      <c r="V312" s="15">
        <v>60</v>
      </c>
      <c r="W312" s="15">
        <f>IF(Form_Responses1[[#This Row],[hcvc]]="Không", 0, 1)</f>
        <v>0</v>
      </c>
      <c r="X312" s="2" t="s">
        <v>21</v>
      </c>
      <c r="Y312" s="15">
        <f>IF(Form_Responses1[[#This Row],[suy_ho_hap]]="Không", 0, 1)</f>
        <v>0</v>
      </c>
      <c r="Z312" s="2" t="s">
        <v>21</v>
      </c>
      <c r="AA312" s="15">
        <f>IF(Form_Responses1[[#This Row],[rung_nhi]]="Không", 0, 1)</f>
        <v>0</v>
      </c>
      <c r="AB312" s="2" t="s">
        <v>21</v>
      </c>
      <c r="AC312" s="15">
        <v>444</v>
      </c>
      <c r="AD312" s="15">
        <v>0.16</v>
      </c>
      <c r="AE312" s="15">
        <v>10.57</v>
      </c>
      <c r="AF312" s="15">
        <v>119</v>
      </c>
      <c r="AG312" s="15">
        <v>230</v>
      </c>
      <c r="AH312" s="15">
        <v>132</v>
      </c>
      <c r="AI312" s="15">
        <v>3.7</v>
      </c>
      <c r="AJ312" s="15">
        <v>12.1</v>
      </c>
      <c r="AK312" s="15">
        <v>1.35</v>
      </c>
      <c r="AL312" s="2" t="s">
        <v>21</v>
      </c>
      <c r="AM312" s="2">
        <v>6395.7</v>
      </c>
      <c r="AN312" s="6">
        <f>IF(Form_Responses1[[#This Row],[NT_proBNP &gt; 35000]]="Có", 35001, Form_Responses1[[#This Row],[NT_ProBNP]])</f>
        <v>6395.7</v>
      </c>
      <c r="AO312" s="15">
        <f>IF(Form_Responses1[[#This Row],[NT_proBNP &gt; 35000]]="Có", 1, 0)</f>
        <v>0</v>
      </c>
      <c r="AP312" s="15">
        <v>54.96</v>
      </c>
      <c r="AQ312" s="15">
        <v>329</v>
      </c>
      <c r="AR312" s="15">
        <v>355</v>
      </c>
      <c r="AS312" s="15">
        <v>124</v>
      </c>
      <c r="AT312" s="15">
        <v>30.8</v>
      </c>
      <c r="AU312" s="15">
        <v>59.9</v>
      </c>
      <c r="AV312" s="15">
        <v>65.2</v>
      </c>
      <c r="AW312" s="15">
        <v>18</v>
      </c>
      <c r="AX312" s="15">
        <v>30</v>
      </c>
      <c r="AY312" s="22">
        <f>IF(Form_Responses1[[#This Row],[ket_cuc]]="Không tử vong", 0, 1)</f>
        <v>0</v>
      </c>
      <c r="AZ312" s="2" t="s">
        <v>24</v>
      </c>
      <c r="BA312" s="32">
        <v>54</v>
      </c>
      <c r="BB312" s="32">
        <v>0.12990714611058268</v>
      </c>
    </row>
    <row r="313" spans="1:54" ht="13" x14ac:dyDescent="0.15">
      <c r="A313" s="1" t="s">
        <v>173</v>
      </c>
      <c r="B313" s="6">
        <v>72</v>
      </c>
      <c r="C313" s="6">
        <f>IF(Form_Responses1[[#This Row],[gioi_tinh]]="Nữ", 0, 1)</f>
        <v>0</v>
      </c>
      <c r="D313" s="1" t="s">
        <v>20</v>
      </c>
      <c r="E313" s="6">
        <v>20.8</v>
      </c>
      <c r="F313" s="6">
        <f>IF(Form_Responses1[[#This Row],[dai_thao_duong]]="Không", 0, 1)</f>
        <v>0</v>
      </c>
      <c r="G313" s="1" t="s">
        <v>21</v>
      </c>
      <c r="H313" s="6">
        <f t="shared" si="8"/>
        <v>0</v>
      </c>
      <c r="I313" s="1" t="s">
        <v>21</v>
      </c>
      <c r="J313" s="6">
        <f>IF(Form_Responses1[[#This Row],[hoi_chung_vanh_man]]="Không", 0, 1)</f>
        <v>0</v>
      </c>
      <c r="K313" s="1" t="s">
        <v>21</v>
      </c>
      <c r="L313" s="6">
        <f>IF(Form_Responses1[[#This Row],[ckd]]="Không", 0, 1)</f>
        <v>0</v>
      </c>
      <c r="M313" s="1" t="s">
        <v>21</v>
      </c>
      <c r="N313" s="6">
        <f t="shared" si="9"/>
        <v>0</v>
      </c>
      <c r="O313" s="1" t="s">
        <v>21</v>
      </c>
      <c r="P313" s="6">
        <f>IF(Form_Responses1[[#This Row],[phan_loai_the_lam_sang]]="Suy tim mất bù cấp", 1,0)</f>
        <v>0</v>
      </c>
      <c r="Q313" s="6">
        <f>IF(Form_Responses1[[#This Row],[phan_loai_the_lam_sang]]="Phù phổi cấp", 1, 0)</f>
        <v>0</v>
      </c>
      <c r="R313" s="6">
        <f>IF(Form_Responses1[[#This Row],[phan_loai_the_lam_sang]]="Choáng tim", 1, 0)</f>
        <v>1</v>
      </c>
      <c r="S313" s="1" t="s">
        <v>28</v>
      </c>
      <c r="T313" s="6">
        <v>97</v>
      </c>
      <c r="U313" s="6">
        <v>80</v>
      </c>
      <c r="V313" s="6">
        <v>50</v>
      </c>
      <c r="W313" s="6">
        <f>IF(Form_Responses1[[#This Row],[hcvc]]="Không", 0, 1)</f>
        <v>0</v>
      </c>
      <c r="X313" s="1" t="s">
        <v>21</v>
      </c>
      <c r="Y313" s="6">
        <f>IF(Form_Responses1[[#This Row],[suy_ho_hap]]="Không", 0, 1)</f>
        <v>1</v>
      </c>
      <c r="Z313" s="1" t="s">
        <v>22</v>
      </c>
      <c r="AA313" s="6">
        <f>IF(Form_Responses1[[#This Row],[rung_nhi]]="Không", 0, 1)</f>
        <v>0</v>
      </c>
      <c r="AB313" s="1" t="s">
        <v>21</v>
      </c>
      <c r="AC313" s="6">
        <v>485</v>
      </c>
      <c r="AD313" s="6">
        <v>0.15</v>
      </c>
      <c r="AE313" s="6">
        <v>9.3000000000000007</v>
      </c>
      <c r="AF313" s="6">
        <v>144</v>
      </c>
      <c r="AG313" s="6">
        <v>110</v>
      </c>
      <c r="AH313" s="6">
        <v>128</v>
      </c>
      <c r="AI313" s="6">
        <v>2.4</v>
      </c>
      <c r="AJ313" s="6">
        <v>40</v>
      </c>
      <c r="AK313" s="6">
        <v>0.94</v>
      </c>
      <c r="AL313" s="1" t="s">
        <v>22</v>
      </c>
      <c r="AM313" s="10"/>
      <c r="AN313" s="6">
        <f>IF(Form_Responses1[[#This Row],[NT_proBNP &gt; 35000]]="Có", 35001, Form_Responses1[[#This Row],[NT_ProBNP]])</f>
        <v>35001</v>
      </c>
      <c r="AO313" s="13">
        <f>IF(Form_Responses1[[#This Row],[NT_proBNP &gt; 35000]]="Có", 1, 0)</f>
        <v>1</v>
      </c>
      <c r="AP313" s="6">
        <v>899.3</v>
      </c>
      <c r="AQ313" s="6">
        <v>801</v>
      </c>
      <c r="AR313" s="6">
        <v>829</v>
      </c>
      <c r="AS313" s="6">
        <v>115</v>
      </c>
      <c r="AT313" s="6">
        <v>42.8</v>
      </c>
      <c r="AU313" s="6">
        <v>58.6</v>
      </c>
      <c r="AV313" s="6">
        <v>70.400000000000006</v>
      </c>
      <c r="AW313" s="6">
        <v>18</v>
      </c>
      <c r="AX313" s="27">
        <v>33</v>
      </c>
      <c r="AY313" s="29">
        <f>IF(Form_Responses1[[#This Row],[ket_cuc]]="Không tử vong", 0, 1)</f>
        <v>0</v>
      </c>
      <c r="AZ313" s="1" t="s">
        <v>24</v>
      </c>
      <c r="BA313" s="32">
        <v>60</v>
      </c>
      <c r="BB313" s="32">
        <v>0.18426719582472667</v>
      </c>
    </row>
    <row r="314" spans="1:54" ht="13" x14ac:dyDescent="0.15">
      <c r="A314" s="2" t="s">
        <v>52</v>
      </c>
      <c r="B314" s="15">
        <v>68</v>
      </c>
      <c r="C314" s="15">
        <f>IF(Form_Responses1[[#This Row],[gioi_tinh]]="Nữ", 0, 1)</f>
        <v>0</v>
      </c>
      <c r="D314" s="2" t="s">
        <v>20</v>
      </c>
      <c r="E314" s="15">
        <v>17.8</v>
      </c>
      <c r="F314" s="15">
        <f>IF(Form_Responses1[[#This Row],[dai_thao_duong]]="Không", 0, 1)</f>
        <v>1</v>
      </c>
      <c r="G314" s="2" t="s">
        <v>22</v>
      </c>
      <c r="H314" s="15">
        <f t="shared" si="8"/>
        <v>1</v>
      </c>
      <c r="I314" s="2" t="s">
        <v>22</v>
      </c>
      <c r="J314" s="15">
        <f>IF(Form_Responses1[[#This Row],[hoi_chung_vanh_man]]="Không", 0, 1)</f>
        <v>1</v>
      </c>
      <c r="K314" s="2" t="s">
        <v>22</v>
      </c>
      <c r="L314" s="15">
        <f>IF(Form_Responses1[[#This Row],[ckd]]="Không", 0, 1)</f>
        <v>0</v>
      </c>
      <c r="M314" s="2" t="s">
        <v>21</v>
      </c>
      <c r="N314" s="15">
        <f t="shared" si="9"/>
        <v>0</v>
      </c>
      <c r="O314" s="2" t="s">
        <v>21</v>
      </c>
      <c r="P314" s="15">
        <f>IF(Form_Responses1[[#This Row],[phan_loai_the_lam_sang]]="Suy tim mất bù cấp", 1,0)</f>
        <v>1</v>
      </c>
      <c r="Q314" s="15">
        <f>IF(Form_Responses1[[#This Row],[phan_loai_the_lam_sang]]="Phù phổi cấp", 1, 0)</f>
        <v>0</v>
      </c>
      <c r="R314" s="15">
        <f>IF(Form_Responses1[[#This Row],[phan_loai_the_lam_sang]]="Choáng tim", 1, 0)</f>
        <v>0</v>
      </c>
      <c r="S314" s="2" t="s">
        <v>23</v>
      </c>
      <c r="T314" s="15">
        <v>123</v>
      </c>
      <c r="U314" s="15">
        <v>130</v>
      </c>
      <c r="V314" s="15">
        <v>80</v>
      </c>
      <c r="W314" s="15">
        <f>IF(Form_Responses1[[#This Row],[hcvc]]="Không", 0, 1)</f>
        <v>0</v>
      </c>
      <c r="X314" s="2" t="s">
        <v>21</v>
      </c>
      <c r="Y314" s="15">
        <f>IF(Form_Responses1[[#This Row],[suy_ho_hap]]="Không", 0, 1)</f>
        <v>0</v>
      </c>
      <c r="Z314" s="2" t="s">
        <v>21</v>
      </c>
      <c r="AA314" s="15">
        <f>IF(Form_Responses1[[#This Row],[rung_nhi]]="Không", 0, 1)</f>
        <v>0</v>
      </c>
      <c r="AB314" s="2" t="s">
        <v>21</v>
      </c>
      <c r="AC314" s="15">
        <v>499</v>
      </c>
      <c r="AD314" s="15">
        <v>0.12</v>
      </c>
      <c r="AE314" s="15">
        <v>11.81</v>
      </c>
      <c r="AF314" s="15">
        <v>119</v>
      </c>
      <c r="AG314" s="15">
        <v>188</v>
      </c>
      <c r="AH314" s="15">
        <v>138</v>
      </c>
      <c r="AI314" s="15">
        <v>3.6</v>
      </c>
      <c r="AJ314" s="15">
        <v>19</v>
      </c>
      <c r="AK314" s="15">
        <v>0.56000000000000005</v>
      </c>
      <c r="AL314" s="2" t="s">
        <v>21</v>
      </c>
      <c r="AM314" s="28">
        <v>3371.95</v>
      </c>
      <c r="AN314" s="6">
        <f>IF(Form_Responses1[[#This Row],[NT_proBNP &gt; 35000]]="Có", 35001, Form_Responses1[[#This Row],[NT_ProBNP]])</f>
        <v>3371.95</v>
      </c>
      <c r="AO314" s="27">
        <f>IF(Form_Responses1[[#This Row],[NT_proBNP &gt; 35000]]="Có", 1, 0)</f>
        <v>0</v>
      </c>
      <c r="AP314" s="15">
        <v>48</v>
      </c>
      <c r="AQ314" s="15">
        <v>18</v>
      </c>
      <c r="AR314" s="15">
        <v>22</v>
      </c>
      <c r="AS314" s="15">
        <v>171</v>
      </c>
      <c r="AT314" s="15">
        <v>33</v>
      </c>
      <c r="AU314" s="15">
        <v>52</v>
      </c>
      <c r="AV314" s="15">
        <v>56</v>
      </c>
      <c r="AW314" s="15">
        <v>17</v>
      </c>
      <c r="AY314" s="25">
        <f>IF(Form_Responses1[[#This Row],[ket_cuc]]="Không tử vong", 0, 1)</f>
        <v>0</v>
      </c>
      <c r="AZ314" s="2" t="s">
        <v>24</v>
      </c>
      <c r="BA314" s="32">
        <v>41</v>
      </c>
      <c r="BB314" s="32">
        <v>9.24987342720687E-2</v>
      </c>
    </row>
    <row r="315" spans="1:54" ht="13" x14ac:dyDescent="0.15">
      <c r="A315" s="1" t="s">
        <v>71</v>
      </c>
      <c r="B315" s="6">
        <v>42</v>
      </c>
      <c r="C315" s="6">
        <f>IF(Form_Responses1[[#This Row],[gioi_tinh]]="Nữ", 0, 1)</f>
        <v>1</v>
      </c>
      <c r="D315" s="1" t="s">
        <v>26</v>
      </c>
      <c r="E315" s="6">
        <v>22</v>
      </c>
      <c r="F315" s="6">
        <f>IF(Form_Responses1[[#This Row],[dai_thao_duong]]="Không", 0, 1)</f>
        <v>0</v>
      </c>
      <c r="G315" s="1" t="s">
        <v>21</v>
      </c>
      <c r="H315" s="6">
        <f t="shared" si="8"/>
        <v>0</v>
      </c>
      <c r="I315" s="1" t="s">
        <v>21</v>
      </c>
      <c r="J315" s="6">
        <f>IF(Form_Responses1[[#This Row],[hoi_chung_vanh_man]]="Không", 0, 1)</f>
        <v>0</v>
      </c>
      <c r="K315" s="1" t="s">
        <v>21</v>
      </c>
      <c r="L315" s="6">
        <f>IF(Form_Responses1[[#This Row],[ckd]]="Không", 0, 1)</f>
        <v>0</v>
      </c>
      <c r="M315" s="1" t="s">
        <v>21</v>
      </c>
      <c r="N315" s="6">
        <f t="shared" si="9"/>
        <v>0</v>
      </c>
      <c r="O315" s="1" t="s">
        <v>21</v>
      </c>
      <c r="P315" s="6">
        <f>IF(Form_Responses1[[#This Row],[phan_loai_the_lam_sang]]="Suy tim mất bù cấp", 1,0)</f>
        <v>1</v>
      </c>
      <c r="Q315" s="6">
        <f>IF(Form_Responses1[[#This Row],[phan_loai_the_lam_sang]]="Phù phổi cấp", 1, 0)</f>
        <v>0</v>
      </c>
      <c r="R315" s="6">
        <f>IF(Form_Responses1[[#This Row],[phan_loai_the_lam_sang]]="Choáng tim", 1, 0)</f>
        <v>0</v>
      </c>
      <c r="S315" s="1" t="s">
        <v>23</v>
      </c>
      <c r="T315" s="6">
        <v>120</v>
      </c>
      <c r="U315" s="6">
        <v>140</v>
      </c>
      <c r="V315" s="6">
        <v>90</v>
      </c>
      <c r="W315" s="6">
        <f>IF(Form_Responses1[[#This Row],[hcvc]]="Không", 0, 1)</f>
        <v>0</v>
      </c>
      <c r="X315" s="1" t="s">
        <v>21</v>
      </c>
      <c r="Y315" s="6">
        <f>IF(Form_Responses1[[#This Row],[suy_ho_hap]]="Không", 0, 1)</f>
        <v>1</v>
      </c>
      <c r="Z315" s="1" t="s">
        <v>22</v>
      </c>
      <c r="AA315" s="6">
        <f>IF(Form_Responses1[[#This Row],[rung_nhi]]="Không", 0, 1)</f>
        <v>0</v>
      </c>
      <c r="AB315" s="1" t="s">
        <v>21</v>
      </c>
      <c r="AC315" s="6">
        <v>499</v>
      </c>
      <c r="AD315" s="6">
        <v>0.08</v>
      </c>
      <c r="AE315" s="6">
        <v>8.76</v>
      </c>
      <c r="AF315" s="6">
        <v>153</v>
      </c>
      <c r="AG315" s="6">
        <v>107</v>
      </c>
      <c r="AH315" s="6">
        <v>133</v>
      </c>
      <c r="AI315" s="6">
        <v>4</v>
      </c>
      <c r="AJ315" s="6">
        <v>10.3</v>
      </c>
      <c r="AK315" s="6">
        <v>1.19</v>
      </c>
      <c r="AL315" s="1" t="s">
        <v>21</v>
      </c>
      <c r="AM315" s="1">
        <v>11248</v>
      </c>
      <c r="AN315" s="6">
        <f>IF(Form_Responses1[[#This Row],[NT_proBNP &gt; 35000]]="Có", 35001, Form_Responses1[[#This Row],[NT_ProBNP]])</f>
        <v>11248</v>
      </c>
      <c r="AO315" s="27">
        <f>IF(Form_Responses1[[#This Row],[NT_proBNP &gt; 35000]]="Có", 1, 0)</f>
        <v>0</v>
      </c>
      <c r="AP315" s="27">
        <v>70.900000000000006</v>
      </c>
      <c r="AQ315" s="6">
        <v>913</v>
      </c>
      <c r="AR315" s="6">
        <v>203</v>
      </c>
      <c r="AS315" s="6">
        <v>230</v>
      </c>
      <c r="AT315" s="6">
        <v>37.9</v>
      </c>
      <c r="AU315" s="6">
        <v>60.1</v>
      </c>
      <c r="AV315" s="6">
        <v>66.099999999999994</v>
      </c>
      <c r="AW315" s="6">
        <v>17</v>
      </c>
      <c r="AX315" s="6">
        <v>35</v>
      </c>
      <c r="AY315" s="24">
        <f>IF(Form_Responses1[[#This Row],[ket_cuc]]="Không tử vong", 0, 1)</f>
        <v>0</v>
      </c>
      <c r="AZ315" s="1" t="s">
        <v>24</v>
      </c>
      <c r="BA315" s="32">
        <v>35</v>
      </c>
      <c r="BB315" s="32">
        <v>3.0827364533057379E-2</v>
      </c>
    </row>
    <row r="316" spans="1:54" ht="13" x14ac:dyDescent="0.15">
      <c r="A316" s="2" t="s">
        <v>319</v>
      </c>
      <c r="B316" s="15">
        <v>51</v>
      </c>
      <c r="C316" s="15">
        <f>IF(Form_Responses1[[#This Row],[gioi_tinh]]="Nữ", 0, 1)</f>
        <v>0</v>
      </c>
      <c r="D316" s="2" t="s">
        <v>20</v>
      </c>
      <c r="E316" s="15">
        <v>22.2</v>
      </c>
      <c r="F316" s="15">
        <f>IF(Form_Responses1[[#This Row],[dai_thao_duong]]="Không", 0, 1)</f>
        <v>1</v>
      </c>
      <c r="G316" s="2" t="s">
        <v>22</v>
      </c>
      <c r="H316" s="15">
        <f t="shared" si="8"/>
        <v>1</v>
      </c>
      <c r="I316" s="2" t="s">
        <v>22</v>
      </c>
      <c r="J316" s="15">
        <f>IF(Form_Responses1[[#This Row],[hoi_chung_vanh_man]]="Không", 0, 1)</f>
        <v>0</v>
      </c>
      <c r="K316" s="2" t="s">
        <v>21</v>
      </c>
      <c r="L316" s="15">
        <f>IF(Form_Responses1[[#This Row],[ckd]]="Không", 0, 1)</f>
        <v>0</v>
      </c>
      <c r="M316" s="2" t="s">
        <v>21</v>
      </c>
      <c r="N316" s="15">
        <f t="shared" si="9"/>
        <v>0</v>
      </c>
      <c r="O316" s="2" t="s">
        <v>21</v>
      </c>
      <c r="P316" s="15">
        <f>IF(Form_Responses1[[#This Row],[phan_loai_the_lam_sang]]="Suy tim mất bù cấp", 1,0)</f>
        <v>1</v>
      </c>
      <c r="Q316" s="15">
        <f>IF(Form_Responses1[[#This Row],[phan_loai_the_lam_sang]]="Phù phổi cấp", 1, 0)</f>
        <v>0</v>
      </c>
      <c r="R316" s="15">
        <f>IF(Form_Responses1[[#This Row],[phan_loai_the_lam_sang]]="Choáng tim", 1, 0)</f>
        <v>0</v>
      </c>
      <c r="S316" s="2" t="s">
        <v>23</v>
      </c>
      <c r="T316" s="15">
        <v>102</v>
      </c>
      <c r="U316" s="15">
        <v>150</v>
      </c>
      <c r="V316" s="15">
        <v>100</v>
      </c>
      <c r="W316" s="15">
        <f>IF(Form_Responses1[[#This Row],[hcvc]]="Không", 0, 1)</f>
        <v>0</v>
      </c>
      <c r="X316" s="2" t="s">
        <v>21</v>
      </c>
      <c r="Y316" s="15">
        <f>IF(Form_Responses1[[#This Row],[suy_ho_hap]]="Không", 0, 1)</f>
        <v>1</v>
      </c>
      <c r="Z316" s="2" t="s">
        <v>22</v>
      </c>
      <c r="AA316" s="15">
        <f>IF(Form_Responses1[[#This Row],[rung_nhi]]="Không", 0, 1)</f>
        <v>0</v>
      </c>
      <c r="AB316" s="2" t="s">
        <v>21</v>
      </c>
      <c r="AC316" s="15">
        <v>428</v>
      </c>
      <c r="AD316" s="15">
        <v>0.1</v>
      </c>
      <c r="AE316" s="15">
        <v>4.83</v>
      </c>
      <c r="AF316" s="15">
        <v>127</v>
      </c>
      <c r="AG316" s="15">
        <v>257</v>
      </c>
      <c r="AH316" s="15">
        <v>130</v>
      </c>
      <c r="AI316" s="15">
        <v>3.9</v>
      </c>
      <c r="AJ316" s="15">
        <v>7.9</v>
      </c>
      <c r="AK316" s="15">
        <v>0.72</v>
      </c>
      <c r="AL316" s="2" t="s">
        <v>21</v>
      </c>
      <c r="AM316" s="2">
        <v>2856</v>
      </c>
      <c r="AN316" s="6">
        <f>IF(Form_Responses1[[#This Row],[NT_proBNP &gt; 35000]]="Có", 35001, Form_Responses1[[#This Row],[NT_ProBNP]])</f>
        <v>2856</v>
      </c>
      <c r="AO316" s="15">
        <f>IF(Form_Responses1[[#This Row],[NT_proBNP &gt; 35000]]="Có", 1, 0)</f>
        <v>0</v>
      </c>
      <c r="AP316" s="15">
        <v>101.28</v>
      </c>
      <c r="AQ316" s="15">
        <v>46</v>
      </c>
      <c r="AR316" s="15">
        <v>26</v>
      </c>
      <c r="AS316" s="15">
        <v>104</v>
      </c>
      <c r="AT316" s="15">
        <v>41</v>
      </c>
      <c r="AU316" s="15">
        <v>47</v>
      </c>
      <c r="AV316" s="15">
        <v>49</v>
      </c>
      <c r="AW316" s="15">
        <v>17</v>
      </c>
      <c r="AX316" s="15">
        <v>42</v>
      </c>
      <c r="AY316" s="22">
        <f>IF(Form_Responses1[[#This Row],[ket_cuc]]="Không tử vong", 0, 1)</f>
        <v>0</v>
      </c>
      <c r="AZ316" s="2" t="s">
        <v>24</v>
      </c>
      <c r="BA316" s="32">
        <v>33</v>
      </c>
      <c r="BB316" s="32">
        <v>2.4903696322072365E-2</v>
      </c>
    </row>
    <row r="317" spans="1:54" ht="13" x14ac:dyDescent="0.15">
      <c r="A317" s="1" t="s">
        <v>103</v>
      </c>
      <c r="B317" s="6">
        <v>72</v>
      </c>
      <c r="C317" s="6">
        <f>IF(Form_Responses1[[#This Row],[gioi_tinh]]="Nữ", 0, 1)</f>
        <v>0</v>
      </c>
      <c r="D317" s="1" t="s">
        <v>20</v>
      </c>
      <c r="E317" s="6">
        <v>15.8</v>
      </c>
      <c r="F317" s="6">
        <f>IF(Form_Responses1[[#This Row],[dai_thao_duong]]="Không", 0, 1)</f>
        <v>0</v>
      </c>
      <c r="G317" s="1" t="s">
        <v>21</v>
      </c>
      <c r="H317" s="6">
        <f t="shared" si="8"/>
        <v>1</v>
      </c>
      <c r="I317" s="1" t="s">
        <v>22</v>
      </c>
      <c r="J317" s="6">
        <f>IF(Form_Responses1[[#This Row],[hoi_chung_vanh_man]]="Không", 0, 1)</f>
        <v>0</v>
      </c>
      <c r="K317" s="1" t="s">
        <v>21</v>
      </c>
      <c r="L317" s="6">
        <f>IF(Form_Responses1[[#This Row],[ckd]]="Không", 0, 1)</f>
        <v>0</v>
      </c>
      <c r="M317" s="1" t="s">
        <v>21</v>
      </c>
      <c r="N317" s="6">
        <f t="shared" si="9"/>
        <v>0</v>
      </c>
      <c r="O317" s="1" t="s">
        <v>21</v>
      </c>
      <c r="P317" s="6">
        <f>IF(Form_Responses1[[#This Row],[phan_loai_the_lam_sang]]="Suy tim mất bù cấp", 1,0)</f>
        <v>1</v>
      </c>
      <c r="Q317" s="6">
        <f>IF(Form_Responses1[[#This Row],[phan_loai_the_lam_sang]]="Phù phổi cấp", 1, 0)</f>
        <v>0</v>
      </c>
      <c r="R317" s="6">
        <f>IF(Form_Responses1[[#This Row],[phan_loai_the_lam_sang]]="Choáng tim", 1, 0)</f>
        <v>0</v>
      </c>
      <c r="S317" s="1" t="s">
        <v>23</v>
      </c>
      <c r="T317" s="6">
        <v>102</v>
      </c>
      <c r="U317" s="6">
        <v>110</v>
      </c>
      <c r="V317" s="6">
        <v>70</v>
      </c>
      <c r="W317" s="6">
        <f>IF(Form_Responses1[[#This Row],[hcvc]]="Không", 0, 1)</f>
        <v>0</v>
      </c>
      <c r="X317" s="1" t="s">
        <v>21</v>
      </c>
      <c r="Y317" s="6">
        <f>IF(Form_Responses1[[#This Row],[suy_ho_hap]]="Không", 0, 1)</f>
        <v>1</v>
      </c>
      <c r="Z317" s="1" t="s">
        <v>22</v>
      </c>
      <c r="AA317" s="6">
        <f>IF(Form_Responses1[[#This Row],[rung_nhi]]="Không", 0, 1)</f>
        <v>0</v>
      </c>
      <c r="AB317" s="1" t="s">
        <v>21</v>
      </c>
      <c r="AC317" s="6">
        <v>400</v>
      </c>
      <c r="AD317" s="6">
        <v>0.06</v>
      </c>
      <c r="AE317" s="6">
        <v>17.78</v>
      </c>
      <c r="AF317" s="6">
        <v>125</v>
      </c>
      <c r="AG317" s="6">
        <v>201</v>
      </c>
      <c r="AH317" s="6">
        <v>127</v>
      </c>
      <c r="AI317" s="6">
        <v>3.8</v>
      </c>
      <c r="AJ317" s="6">
        <v>7.9</v>
      </c>
      <c r="AK317" s="6">
        <v>0.66</v>
      </c>
      <c r="AL317" s="1" t="s">
        <v>22</v>
      </c>
      <c r="AM317" s="10"/>
      <c r="AN317" s="6">
        <f>IF(Form_Responses1[[#This Row],[NT_proBNP &gt; 35000]]="Có", 35001, Form_Responses1[[#This Row],[NT_ProBNP]])</f>
        <v>35001</v>
      </c>
      <c r="AO317" s="13">
        <f>IF(Form_Responses1[[#This Row],[NT_proBNP &gt; 35000]]="Có", 1, 0)</f>
        <v>1</v>
      </c>
      <c r="AP317" s="6">
        <v>243.1</v>
      </c>
      <c r="AQ317" s="6">
        <v>46</v>
      </c>
      <c r="AR317" s="6">
        <v>37</v>
      </c>
      <c r="AS317" s="6">
        <v>42</v>
      </c>
      <c r="AT317" s="6">
        <v>42.8</v>
      </c>
      <c r="AU317" s="6">
        <v>44.5</v>
      </c>
      <c r="AV317" s="6">
        <v>48.3</v>
      </c>
      <c r="AW317" s="6">
        <v>17</v>
      </c>
      <c r="AX317" s="27">
        <v>25</v>
      </c>
      <c r="AY317" s="29">
        <f>IF(Form_Responses1[[#This Row],[ket_cuc]]="Không tử vong", 0, 1)</f>
        <v>0</v>
      </c>
      <c r="AZ317" s="1" t="s">
        <v>24</v>
      </c>
      <c r="BA317" s="32">
        <v>47</v>
      </c>
      <c r="BB317" s="32">
        <v>7.679441706951666E-2</v>
      </c>
    </row>
    <row r="318" spans="1:54" ht="13" x14ac:dyDescent="0.15">
      <c r="A318" s="2" t="s">
        <v>320</v>
      </c>
      <c r="B318" s="15">
        <v>87</v>
      </c>
      <c r="C318" s="15">
        <f>IF(Form_Responses1[[#This Row],[gioi_tinh]]="Nữ", 0, 1)</f>
        <v>0</v>
      </c>
      <c r="D318" s="2" t="s">
        <v>20</v>
      </c>
      <c r="E318" s="15">
        <v>20.7</v>
      </c>
      <c r="F318" s="15">
        <f>IF(Form_Responses1[[#This Row],[dai_thao_duong]]="Không", 0, 1)</f>
        <v>0</v>
      </c>
      <c r="G318" s="2" t="s">
        <v>21</v>
      </c>
      <c r="H318" s="15">
        <f t="shared" si="8"/>
        <v>0</v>
      </c>
      <c r="I318" s="2" t="s">
        <v>21</v>
      </c>
      <c r="J318" s="15">
        <f>IF(Form_Responses1[[#This Row],[hoi_chung_vanh_man]]="Không", 0, 1)</f>
        <v>1</v>
      </c>
      <c r="K318" s="2" t="s">
        <v>22</v>
      </c>
      <c r="L318" s="15">
        <f>IF(Form_Responses1[[#This Row],[ckd]]="Không", 0, 1)</f>
        <v>0</v>
      </c>
      <c r="M318" s="2" t="s">
        <v>21</v>
      </c>
      <c r="N318" s="15">
        <f t="shared" si="9"/>
        <v>0</v>
      </c>
      <c r="O318" s="2" t="s">
        <v>21</v>
      </c>
      <c r="P318" s="15">
        <f>IF(Form_Responses1[[#This Row],[phan_loai_the_lam_sang]]="Suy tim mất bù cấp", 1,0)</f>
        <v>0</v>
      </c>
      <c r="Q318" s="15">
        <f>IF(Form_Responses1[[#This Row],[phan_loai_the_lam_sang]]="Phù phổi cấp", 1, 0)</f>
        <v>1</v>
      </c>
      <c r="R318" s="15">
        <f>IF(Form_Responses1[[#This Row],[phan_loai_the_lam_sang]]="Choáng tim", 1, 0)</f>
        <v>0</v>
      </c>
      <c r="S318" s="2" t="s">
        <v>45</v>
      </c>
      <c r="T318" s="15">
        <v>82</v>
      </c>
      <c r="U318" s="15">
        <v>130</v>
      </c>
      <c r="V318" s="15">
        <v>80</v>
      </c>
      <c r="W318" s="15">
        <f>IF(Form_Responses1[[#This Row],[hcvc]]="Không", 0, 1)</f>
        <v>0</v>
      </c>
      <c r="X318" s="2" t="s">
        <v>21</v>
      </c>
      <c r="Y318" s="15">
        <f>IF(Form_Responses1[[#This Row],[suy_ho_hap]]="Không", 0, 1)</f>
        <v>0</v>
      </c>
      <c r="Z318" s="2" t="s">
        <v>21</v>
      </c>
      <c r="AA318" s="15">
        <f>IF(Form_Responses1[[#This Row],[rung_nhi]]="Không", 0, 1)</f>
        <v>0</v>
      </c>
      <c r="AB318" s="2" t="s">
        <v>21</v>
      </c>
      <c r="AC318" s="15">
        <v>436</v>
      </c>
      <c r="AD318" s="15">
        <v>0.1</v>
      </c>
      <c r="AE318" s="15">
        <v>2.66</v>
      </c>
      <c r="AF318" s="15">
        <v>71</v>
      </c>
      <c r="AG318" s="15">
        <v>13</v>
      </c>
      <c r="AH318" s="15">
        <v>141</v>
      </c>
      <c r="AI318" s="15">
        <v>3.7</v>
      </c>
      <c r="AJ318" s="15">
        <v>35</v>
      </c>
      <c r="AK318" s="15">
        <v>1.43</v>
      </c>
      <c r="AL318" s="2" t="s">
        <v>22</v>
      </c>
      <c r="AM318" s="12"/>
      <c r="AN318" s="6">
        <f>IF(Form_Responses1[[#This Row],[NT_proBNP &gt; 35000]]="Có", 35001, Form_Responses1[[#This Row],[NT_ProBNP]])</f>
        <v>35001</v>
      </c>
      <c r="AO318" s="18">
        <f>IF(Form_Responses1[[#This Row],[NT_proBNP &gt; 35000]]="Có", 1, 0)</f>
        <v>1</v>
      </c>
      <c r="AP318" s="15">
        <v>294.39999999999998</v>
      </c>
      <c r="AQ318" s="15">
        <v>150</v>
      </c>
      <c r="AR318" s="15">
        <v>61</v>
      </c>
      <c r="AS318" s="15">
        <v>109</v>
      </c>
      <c r="AT318" s="15">
        <v>42</v>
      </c>
      <c r="AU318" s="15">
        <v>55</v>
      </c>
      <c r="AV318" s="15">
        <v>65</v>
      </c>
      <c r="AW318" s="15">
        <v>17</v>
      </c>
      <c r="AX318" s="27">
        <v>59</v>
      </c>
      <c r="AY318" s="29">
        <f>IF(Form_Responses1[[#This Row],[ket_cuc]]="Không tử vong", 0, 1)</f>
        <v>0</v>
      </c>
      <c r="AZ318" s="2" t="s">
        <v>24</v>
      </c>
      <c r="BA318" s="32">
        <v>42</v>
      </c>
      <c r="BB318" s="32">
        <v>0.12628643196880454</v>
      </c>
    </row>
    <row r="319" spans="1:54" ht="13" x14ac:dyDescent="0.15">
      <c r="A319" s="1" t="s">
        <v>107</v>
      </c>
      <c r="B319" s="6">
        <v>26</v>
      </c>
      <c r="C319" s="6">
        <f>IF(Form_Responses1[[#This Row],[gioi_tinh]]="Nữ", 0, 1)</f>
        <v>1</v>
      </c>
      <c r="D319" s="1" t="s">
        <v>26</v>
      </c>
      <c r="E319" s="6">
        <v>26.1</v>
      </c>
      <c r="F319" s="6">
        <f>IF(Form_Responses1[[#This Row],[dai_thao_duong]]="Không", 0, 1)</f>
        <v>0</v>
      </c>
      <c r="G319" s="1" t="s">
        <v>21</v>
      </c>
      <c r="H319" s="6">
        <f t="shared" si="8"/>
        <v>0</v>
      </c>
      <c r="I319" s="1" t="s">
        <v>21</v>
      </c>
      <c r="J319" s="6">
        <f>IF(Form_Responses1[[#This Row],[hoi_chung_vanh_man]]="Không", 0, 1)</f>
        <v>0</v>
      </c>
      <c r="K319" s="1" t="s">
        <v>21</v>
      </c>
      <c r="L319" s="6">
        <f>IF(Form_Responses1[[#This Row],[ckd]]="Không", 0, 1)</f>
        <v>0</v>
      </c>
      <c r="M319" s="1" t="s">
        <v>21</v>
      </c>
      <c r="N319" s="6">
        <f t="shared" si="9"/>
        <v>0</v>
      </c>
      <c r="O319" s="1" t="s">
        <v>21</v>
      </c>
      <c r="P319" s="6">
        <f>IF(Form_Responses1[[#This Row],[phan_loai_the_lam_sang]]="Suy tim mất bù cấp", 1,0)</f>
        <v>1</v>
      </c>
      <c r="Q319" s="6">
        <f>IF(Form_Responses1[[#This Row],[phan_loai_the_lam_sang]]="Phù phổi cấp", 1, 0)</f>
        <v>0</v>
      </c>
      <c r="R319" s="6">
        <f>IF(Form_Responses1[[#This Row],[phan_loai_the_lam_sang]]="Choáng tim", 1, 0)</f>
        <v>0</v>
      </c>
      <c r="S319" s="1" t="s">
        <v>23</v>
      </c>
      <c r="T319" s="6">
        <v>114</v>
      </c>
      <c r="U319" s="6">
        <v>130</v>
      </c>
      <c r="V319" s="6">
        <v>60</v>
      </c>
      <c r="W319" s="6">
        <f>IF(Form_Responses1[[#This Row],[hcvc]]="Không", 0, 1)</f>
        <v>0</v>
      </c>
      <c r="X319" s="1" t="s">
        <v>21</v>
      </c>
      <c r="Y319" s="6">
        <f>IF(Form_Responses1[[#This Row],[suy_ho_hap]]="Không", 0, 1)</f>
        <v>1</v>
      </c>
      <c r="Z319" s="1" t="s">
        <v>22</v>
      </c>
      <c r="AA319" s="6">
        <f>IF(Form_Responses1[[#This Row],[rung_nhi]]="Không", 0, 1)</f>
        <v>0</v>
      </c>
      <c r="AB319" s="1" t="s">
        <v>21</v>
      </c>
      <c r="AC319" s="6">
        <v>428</v>
      </c>
      <c r="AD319" s="6">
        <v>0.05</v>
      </c>
      <c r="AE319" s="6">
        <v>19.920000000000002</v>
      </c>
      <c r="AF319" s="6">
        <v>154</v>
      </c>
      <c r="AG319" s="6">
        <v>219</v>
      </c>
      <c r="AH319" s="6">
        <v>131</v>
      </c>
      <c r="AI319" s="6">
        <v>4.8</v>
      </c>
      <c r="AJ319" s="6">
        <v>7.9</v>
      </c>
      <c r="AK319" s="6">
        <v>0.97</v>
      </c>
      <c r="AL319" s="1" t="s">
        <v>21</v>
      </c>
      <c r="AM319" s="1">
        <v>5272.9</v>
      </c>
      <c r="AN319" s="6">
        <f>IF(Form_Responses1[[#This Row],[NT_proBNP &gt; 35000]]="Có", 35001, Form_Responses1[[#This Row],[NT_ProBNP]])</f>
        <v>5272.9</v>
      </c>
      <c r="AO319" s="27">
        <f>IF(Form_Responses1[[#This Row],[NT_proBNP &gt; 35000]]="Có", 1, 0)</f>
        <v>0</v>
      </c>
      <c r="AP319" s="27">
        <v>1324.7</v>
      </c>
      <c r="AQ319" s="6">
        <v>940</v>
      </c>
      <c r="AR319" s="6">
        <v>734</v>
      </c>
      <c r="AS319" s="6">
        <v>121</v>
      </c>
      <c r="AT319" s="6">
        <v>42.1</v>
      </c>
      <c r="AU319" s="6">
        <v>53.3</v>
      </c>
      <c r="AV319" s="6">
        <v>61.3</v>
      </c>
      <c r="AW319" s="6">
        <v>17</v>
      </c>
      <c r="AX319" s="27">
        <v>51</v>
      </c>
      <c r="AY319" s="29">
        <f>IF(Form_Responses1[[#This Row],[ket_cuc]]="Không tử vong", 0, 1)</f>
        <v>0</v>
      </c>
      <c r="AZ319" s="1" t="s">
        <v>24</v>
      </c>
      <c r="BA319" s="32">
        <v>30</v>
      </c>
      <c r="BB319" s="32">
        <v>3.0403566982796899E-2</v>
      </c>
    </row>
    <row r="320" spans="1:54" ht="13" x14ac:dyDescent="0.15">
      <c r="A320" s="2" t="s">
        <v>81</v>
      </c>
      <c r="B320" s="15">
        <v>49</v>
      </c>
      <c r="C320" s="15">
        <f>IF(Form_Responses1[[#This Row],[gioi_tinh]]="Nữ", 0, 1)</f>
        <v>1</v>
      </c>
      <c r="D320" s="2" t="s">
        <v>26</v>
      </c>
      <c r="E320" s="15">
        <v>29.3</v>
      </c>
      <c r="F320" s="15">
        <f>IF(Form_Responses1[[#This Row],[dai_thao_duong]]="Không", 0, 1)</f>
        <v>0</v>
      </c>
      <c r="G320" s="2" t="s">
        <v>21</v>
      </c>
      <c r="H320" s="15">
        <f t="shared" si="8"/>
        <v>1</v>
      </c>
      <c r="I320" s="2" t="s">
        <v>22</v>
      </c>
      <c r="J320" s="15">
        <f>IF(Form_Responses1[[#This Row],[hoi_chung_vanh_man]]="Không", 0, 1)</f>
        <v>0</v>
      </c>
      <c r="K320" s="2" t="s">
        <v>21</v>
      </c>
      <c r="L320" s="15">
        <f>IF(Form_Responses1[[#This Row],[ckd]]="Không", 0, 1)</f>
        <v>0</v>
      </c>
      <c r="M320" s="2" t="s">
        <v>21</v>
      </c>
      <c r="N320" s="15">
        <f t="shared" si="9"/>
        <v>0</v>
      </c>
      <c r="O320" s="2" t="s">
        <v>21</v>
      </c>
      <c r="P320" s="15">
        <f>IF(Form_Responses1[[#This Row],[phan_loai_the_lam_sang]]="Suy tim mất bù cấp", 1,0)</f>
        <v>1</v>
      </c>
      <c r="Q320" s="15">
        <f>IF(Form_Responses1[[#This Row],[phan_loai_the_lam_sang]]="Phù phổi cấp", 1, 0)</f>
        <v>0</v>
      </c>
      <c r="R320" s="15">
        <f>IF(Form_Responses1[[#This Row],[phan_loai_the_lam_sang]]="Choáng tim", 1, 0)</f>
        <v>0</v>
      </c>
      <c r="S320" s="2" t="s">
        <v>23</v>
      </c>
      <c r="T320" s="15">
        <v>110</v>
      </c>
      <c r="U320" s="15">
        <v>120</v>
      </c>
      <c r="V320" s="15">
        <v>80</v>
      </c>
      <c r="W320" s="15">
        <f>IF(Form_Responses1[[#This Row],[hcvc]]="Không", 0, 1)</f>
        <v>0</v>
      </c>
      <c r="X320" s="2" t="s">
        <v>21</v>
      </c>
      <c r="Y320" s="15">
        <f>IF(Form_Responses1[[#This Row],[suy_ho_hap]]="Không", 0, 1)</f>
        <v>0</v>
      </c>
      <c r="Z320" s="2" t="s">
        <v>21</v>
      </c>
      <c r="AA320" s="15">
        <f>IF(Form_Responses1[[#This Row],[rung_nhi]]="Không", 0, 1)</f>
        <v>0</v>
      </c>
      <c r="AB320" s="2" t="s">
        <v>21</v>
      </c>
      <c r="AC320" s="15">
        <v>428</v>
      </c>
      <c r="AD320" s="15">
        <v>0.08</v>
      </c>
      <c r="AE320" s="15">
        <v>7.97</v>
      </c>
      <c r="AF320" s="15">
        <v>133</v>
      </c>
      <c r="AG320" s="15">
        <v>275</v>
      </c>
      <c r="AH320" s="15">
        <v>138</v>
      </c>
      <c r="AI320" s="15">
        <v>3.1</v>
      </c>
      <c r="AJ320" s="15">
        <v>8.4</v>
      </c>
      <c r="AK320" s="15">
        <v>1.33</v>
      </c>
      <c r="AL320" s="2" t="s">
        <v>21</v>
      </c>
      <c r="AM320" s="2">
        <v>4937.8999999999996</v>
      </c>
      <c r="AN320" s="6">
        <f>IF(Form_Responses1[[#This Row],[NT_proBNP &gt; 35000]]="Có", 35001, Form_Responses1[[#This Row],[NT_ProBNP]])</f>
        <v>4937.8999999999996</v>
      </c>
      <c r="AO320" s="15">
        <f>IF(Form_Responses1[[#This Row],[NT_proBNP &gt; 35000]]="Có", 1, 0)</f>
        <v>0</v>
      </c>
      <c r="AP320" s="15">
        <v>33.57</v>
      </c>
      <c r="AQ320" s="15">
        <v>40</v>
      </c>
      <c r="AR320" s="15">
        <v>33</v>
      </c>
      <c r="AS320" s="15">
        <v>132</v>
      </c>
      <c r="AT320" s="15">
        <v>30.7</v>
      </c>
      <c r="AU320" s="15">
        <v>64.099999999999994</v>
      </c>
      <c r="AV320" s="15">
        <v>69.2</v>
      </c>
      <c r="AW320" s="15">
        <v>16</v>
      </c>
      <c r="AX320" s="15">
        <v>68</v>
      </c>
      <c r="AY320" s="22">
        <f>IF(Form_Responses1[[#This Row],[ket_cuc]]="Không tử vong", 0, 1)</f>
        <v>0</v>
      </c>
      <c r="AZ320" s="2" t="s">
        <v>24</v>
      </c>
      <c r="BA320" s="32">
        <v>35</v>
      </c>
      <c r="BB320" s="32">
        <v>3.8209223485997014E-2</v>
      </c>
    </row>
    <row r="321" spans="1:54" ht="13" x14ac:dyDescent="0.15">
      <c r="A321" s="1" t="s">
        <v>297</v>
      </c>
      <c r="B321" s="6">
        <v>74</v>
      </c>
      <c r="C321" s="6">
        <f>IF(Form_Responses1[[#This Row],[gioi_tinh]]="Nữ", 0, 1)</f>
        <v>1</v>
      </c>
      <c r="D321" s="1" t="s">
        <v>26</v>
      </c>
      <c r="E321" s="6">
        <v>23.4</v>
      </c>
      <c r="F321" s="6">
        <f>IF(Form_Responses1[[#This Row],[dai_thao_duong]]="Không", 0, 1)</f>
        <v>1</v>
      </c>
      <c r="G321" s="1" t="s">
        <v>22</v>
      </c>
      <c r="H321" s="6">
        <f t="shared" si="8"/>
        <v>0</v>
      </c>
      <c r="I321" s="1" t="s">
        <v>21</v>
      </c>
      <c r="J321" s="6">
        <f>IF(Form_Responses1[[#This Row],[hoi_chung_vanh_man]]="Không", 0, 1)</f>
        <v>0</v>
      </c>
      <c r="K321" s="1" t="s">
        <v>21</v>
      </c>
      <c r="L321" s="6">
        <f>IF(Form_Responses1[[#This Row],[ckd]]="Không", 0, 1)</f>
        <v>1</v>
      </c>
      <c r="M321" s="1" t="s">
        <v>22</v>
      </c>
      <c r="N321" s="6">
        <f t="shared" si="9"/>
        <v>0</v>
      </c>
      <c r="O321" s="1" t="s">
        <v>21</v>
      </c>
      <c r="P321" s="6">
        <f>IF(Form_Responses1[[#This Row],[phan_loai_the_lam_sang]]="Suy tim mất bù cấp", 1,0)</f>
        <v>1</v>
      </c>
      <c r="Q321" s="6">
        <f>IF(Form_Responses1[[#This Row],[phan_loai_the_lam_sang]]="Phù phổi cấp", 1, 0)</f>
        <v>0</v>
      </c>
      <c r="R321" s="6">
        <f>IF(Form_Responses1[[#This Row],[phan_loai_the_lam_sang]]="Choáng tim", 1, 0)</f>
        <v>0</v>
      </c>
      <c r="S321" s="1" t="s">
        <v>23</v>
      </c>
      <c r="T321" s="6">
        <v>92</v>
      </c>
      <c r="U321" s="6">
        <v>150</v>
      </c>
      <c r="V321" s="6">
        <v>90</v>
      </c>
      <c r="W321" s="6">
        <f>IF(Form_Responses1[[#This Row],[hcvc]]="Không", 0, 1)</f>
        <v>0</v>
      </c>
      <c r="X321" s="1" t="s">
        <v>21</v>
      </c>
      <c r="Y321" s="6">
        <f>IF(Form_Responses1[[#This Row],[suy_ho_hap]]="Không", 0, 1)</f>
        <v>1</v>
      </c>
      <c r="Z321" s="1" t="s">
        <v>22</v>
      </c>
      <c r="AA321" s="6">
        <f>IF(Form_Responses1[[#This Row],[rung_nhi]]="Không", 0, 1)</f>
        <v>1</v>
      </c>
      <c r="AB321" s="1" t="s">
        <v>22</v>
      </c>
      <c r="AC321" s="6">
        <v>335</v>
      </c>
      <c r="AD321" s="6">
        <v>0.08</v>
      </c>
      <c r="AE321" s="6">
        <v>9.3699999999999992</v>
      </c>
      <c r="AF321" s="6">
        <v>107</v>
      </c>
      <c r="AG321" s="6">
        <v>169</v>
      </c>
      <c r="AH321" s="6">
        <v>136</v>
      </c>
      <c r="AI321" s="6">
        <v>5</v>
      </c>
      <c r="AJ321" s="6">
        <v>105</v>
      </c>
      <c r="AK321" s="6">
        <v>5.0599999999999996</v>
      </c>
      <c r="AL321" s="1" t="s">
        <v>22</v>
      </c>
      <c r="AN321" s="6">
        <f>IF(Form_Responses1[[#This Row],[NT_proBNP &gt; 35000]]="Có", 35001, Form_Responses1[[#This Row],[NT_ProBNP]])</f>
        <v>35001</v>
      </c>
      <c r="AO321" s="5">
        <f>IF(Form_Responses1[[#This Row],[NT_proBNP &gt; 35000]]="Có", 1, 0)</f>
        <v>1</v>
      </c>
      <c r="AP321" s="6">
        <v>140.82</v>
      </c>
      <c r="AQ321" s="6">
        <v>3064</v>
      </c>
      <c r="AR321" s="6">
        <v>3906</v>
      </c>
      <c r="AS321" s="6">
        <v>129</v>
      </c>
      <c r="AT321" s="6">
        <v>37.1</v>
      </c>
      <c r="AU321" s="6">
        <v>52.6</v>
      </c>
      <c r="AV321" s="6">
        <v>59.2</v>
      </c>
      <c r="AW321" s="6">
        <v>16</v>
      </c>
      <c r="AX321" s="13"/>
      <c r="AY321" s="23">
        <f>IF(Form_Responses1[[#This Row],[ket_cuc]]="Không tử vong", 0, 1)</f>
        <v>0</v>
      </c>
      <c r="AZ321" s="1" t="s">
        <v>24</v>
      </c>
      <c r="BA321" s="32">
        <v>54</v>
      </c>
      <c r="BB321" s="32">
        <v>0.29201866683869149</v>
      </c>
    </row>
    <row r="322" spans="1:54" ht="13" x14ac:dyDescent="0.15">
      <c r="A322" s="2" t="s">
        <v>250</v>
      </c>
      <c r="B322" s="15">
        <v>86</v>
      </c>
      <c r="C322" s="15">
        <f>IF(Form_Responses1[[#This Row],[gioi_tinh]]="Nữ", 0, 1)</f>
        <v>1</v>
      </c>
      <c r="D322" s="2" t="s">
        <v>26</v>
      </c>
      <c r="E322" s="15">
        <v>19.5</v>
      </c>
      <c r="F322" s="15">
        <f>IF(Form_Responses1[[#This Row],[dai_thao_duong]]="Không", 0, 1)</f>
        <v>0</v>
      </c>
      <c r="G322" s="2" t="s">
        <v>21</v>
      </c>
      <c r="H322" s="15">
        <f t="shared" ref="H322:H330" si="10">IF(I322="Có", 1, 0)</f>
        <v>0</v>
      </c>
      <c r="I322" s="2" t="s">
        <v>21</v>
      </c>
      <c r="J322" s="15">
        <f>IF(Form_Responses1[[#This Row],[hoi_chung_vanh_man]]="Không", 0, 1)</f>
        <v>1</v>
      </c>
      <c r="K322" s="2" t="s">
        <v>22</v>
      </c>
      <c r="L322" s="15">
        <f>IF(Form_Responses1[[#This Row],[ckd]]="Không", 0, 1)</f>
        <v>0</v>
      </c>
      <c r="M322" s="2" t="s">
        <v>21</v>
      </c>
      <c r="N322" s="15">
        <f t="shared" ref="N322:N330" si="11">IF(O322="Không", 0, 1)</f>
        <v>0</v>
      </c>
      <c r="O322" s="2" t="s">
        <v>21</v>
      </c>
      <c r="P322" s="15">
        <f>IF(Form_Responses1[[#This Row],[phan_loai_the_lam_sang]]="Suy tim mất bù cấp", 1,0)</f>
        <v>1</v>
      </c>
      <c r="Q322" s="15">
        <f>IF(Form_Responses1[[#This Row],[phan_loai_the_lam_sang]]="Phù phổi cấp", 1, 0)</f>
        <v>0</v>
      </c>
      <c r="R322" s="15">
        <f>IF(Form_Responses1[[#This Row],[phan_loai_the_lam_sang]]="Choáng tim", 1, 0)</f>
        <v>0</v>
      </c>
      <c r="S322" s="2" t="s">
        <v>23</v>
      </c>
      <c r="T322" s="15">
        <v>102</v>
      </c>
      <c r="U322" s="15">
        <v>90</v>
      </c>
      <c r="V322" s="15">
        <v>60</v>
      </c>
      <c r="W322" s="15">
        <f>IF(Form_Responses1[[#This Row],[hcvc]]="Không", 0, 1)</f>
        <v>0</v>
      </c>
      <c r="X322" s="2" t="s">
        <v>21</v>
      </c>
      <c r="Y322" s="15">
        <f>IF(Form_Responses1[[#This Row],[suy_ho_hap]]="Không", 0, 1)</f>
        <v>0</v>
      </c>
      <c r="Z322" s="2" t="s">
        <v>21</v>
      </c>
      <c r="AA322" s="15">
        <f>IF(Form_Responses1[[#This Row],[rung_nhi]]="Không", 0, 1)</f>
        <v>1</v>
      </c>
      <c r="AB322" s="2" t="s">
        <v>22</v>
      </c>
      <c r="AC322" s="15">
        <v>421</v>
      </c>
      <c r="AD322" s="15">
        <v>0.11</v>
      </c>
      <c r="AE322" s="15">
        <v>6.57</v>
      </c>
      <c r="AF322" s="15">
        <v>137</v>
      </c>
      <c r="AG322" s="15">
        <v>130</v>
      </c>
      <c r="AH322" s="15">
        <v>127</v>
      </c>
      <c r="AI322" s="15">
        <v>4.0999999999999996</v>
      </c>
      <c r="AJ322" s="15">
        <v>15.42</v>
      </c>
      <c r="AK322" s="15">
        <v>1.18</v>
      </c>
      <c r="AL322" s="2" t="s">
        <v>21</v>
      </c>
      <c r="AM322" s="2">
        <v>12720</v>
      </c>
      <c r="AN322" s="6">
        <f>IF(Form_Responses1[[#This Row],[NT_proBNP &gt; 35000]]="Có", 35001, Form_Responses1[[#This Row],[NT_ProBNP]])</f>
        <v>12720</v>
      </c>
      <c r="AO322" s="15">
        <f>IF(Form_Responses1[[#This Row],[NT_proBNP &gt; 35000]]="Có", 1, 0)</f>
        <v>0</v>
      </c>
      <c r="AP322" s="15">
        <v>337.6</v>
      </c>
      <c r="AQ322" s="15">
        <v>181</v>
      </c>
      <c r="AR322" s="15">
        <v>376</v>
      </c>
      <c r="AS322" s="15">
        <v>136</v>
      </c>
      <c r="AT322" s="15">
        <v>38</v>
      </c>
      <c r="AU322" s="15">
        <v>30</v>
      </c>
      <c r="AV322" s="15">
        <v>32</v>
      </c>
      <c r="AW322" s="15">
        <v>16</v>
      </c>
      <c r="AX322" s="15">
        <v>30</v>
      </c>
      <c r="AY322" s="22">
        <f>IF(Form_Responses1[[#This Row],[ket_cuc]]="Không tử vong", 0, 1)</f>
        <v>0</v>
      </c>
      <c r="AZ322" s="2" t="s">
        <v>24</v>
      </c>
      <c r="BA322" s="32">
        <v>55</v>
      </c>
      <c r="BB322" s="32">
        <v>0.15031967467578147</v>
      </c>
    </row>
    <row r="323" spans="1:54" ht="13" x14ac:dyDescent="0.15">
      <c r="A323" s="1" t="s">
        <v>295</v>
      </c>
      <c r="B323" s="6">
        <v>68</v>
      </c>
      <c r="C323" s="6">
        <f>IF(Form_Responses1[[#This Row],[gioi_tinh]]="Nữ", 0, 1)</f>
        <v>1</v>
      </c>
      <c r="D323" s="1" t="s">
        <v>26</v>
      </c>
      <c r="E323" s="6">
        <v>22</v>
      </c>
      <c r="F323" s="6">
        <f>IF(Form_Responses1[[#This Row],[dai_thao_duong]]="Không", 0, 1)</f>
        <v>0</v>
      </c>
      <c r="G323" s="1" t="s">
        <v>21</v>
      </c>
      <c r="H323" s="6">
        <f t="shared" si="10"/>
        <v>0</v>
      </c>
      <c r="I323" s="1" t="s">
        <v>21</v>
      </c>
      <c r="J323" s="6">
        <f>IF(Form_Responses1[[#This Row],[hoi_chung_vanh_man]]="Không", 0, 1)</f>
        <v>0</v>
      </c>
      <c r="K323" s="1" t="s">
        <v>21</v>
      </c>
      <c r="L323" s="6">
        <f>IF(Form_Responses1[[#This Row],[ckd]]="Không", 0, 1)</f>
        <v>0</v>
      </c>
      <c r="M323" s="1" t="s">
        <v>21</v>
      </c>
      <c r="N323" s="6">
        <f t="shared" si="11"/>
        <v>0</v>
      </c>
      <c r="O323" s="1" t="s">
        <v>21</v>
      </c>
      <c r="P323" s="6">
        <f>IF(Form_Responses1[[#This Row],[phan_loai_the_lam_sang]]="Suy tim mất bù cấp", 1,0)</f>
        <v>0</v>
      </c>
      <c r="Q323" s="6">
        <f>IF(Form_Responses1[[#This Row],[phan_loai_the_lam_sang]]="Phù phổi cấp", 1, 0)</f>
        <v>0</v>
      </c>
      <c r="R323" s="6">
        <f>IF(Form_Responses1[[#This Row],[phan_loai_the_lam_sang]]="Choáng tim", 1, 0)</f>
        <v>1</v>
      </c>
      <c r="S323" s="1" t="s">
        <v>28</v>
      </c>
      <c r="T323" s="6">
        <v>96</v>
      </c>
      <c r="U323" s="6">
        <v>120</v>
      </c>
      <c r="V323" s="6">
        <v>70</v>
      </c>
      <c r="W323" s="6">
        <f>IF(Form_Responses1[[#This Row],[hcvc]]="Không", 0, 1)</f>
        <v>1</v>
      </c>
      <c r="X323" s="1" t="s">
        <v>22</v>
      </c>
      <c r="Y323" s="6">
        <f>IF(Form_Responses1[[#This Row],[suy_ho_hap]]="Không", 0, 1)</f>
        <v>1</v>
      </c>
      <c r="Z323" s="1" t="s">
        <v>22</v>
      </c>
      <c r="AA323" s="6">
        <f>IF(Form_Responses1[[#This Row],[rung_nhi]]="Không", 0, 1)</f>
        <v>0</v>
      </c>
      <c r="AB323" s="1" t="s">
        <v>21</v>
      </c>
      <c r="AC323" s="6">
        <v>443</v>
      </c>
      <c r="AD323" s="6">
        <v>0.1</v>
      </c>
      <c r="AE323" s="6">
        <v>20.32</v>
      </c>
      <c r="AF323" s="6">
        <v>161</v>
      </c>
      <c r="AG323" s="6">
        <v>174</v>
      </c>
      <c r="AH323" s="6">
        <v>136</v>
      </c>
      <c r="AI323" s="6">
        <v>4.4000000000000004</v>
      </c>
      <c r="AJ323" s="6">
        <v>35</v>
      </c>
      <c r="AK323" s="6">
        <v>1.9</v>
      </c>
      <c r="AL323" s="1" t="s">
        <v>22</v>
      </c>
      <c r="AM323" s="10"/>
      <c r="AN323" s="6">
        <f>IF(Form_Responses1[[#This Row],[NT_proBNP &gt; 35000]]="Có", 35001, Form_Responses1[[#This Row],[NT_ProBNP]])</f>
        <v>35001</v>
      </c>
      <c r="AO323" s="13">
        <f>IF(Form_Responses1[[#This Row],[NT_proBNP &gt; 35000]]="Có", 1, 0)</f>
        <v>1</v>
      </c>
      <c r="AP323" s="6">
        <v>309.7</v>
      </c>
      <c r="AQ323" s="6">
        <v>96</v>
      </c>
      <c r="AR323" s="6">
        <v>134</v>
      </c>
      <c r="AS323" s="6">
        <v>296</v>
      </c>
      <c r="AT323" s="6">
        <v>44</v>
      </c>
      <c r="AU323" s="6">
        <v>59.8</v>
      </c>
      <c r="AV323" s="6">
        <v>65.8</v>
      </c>
      <c r="AW323" s="6">
        <v>16</v>
      </c>
      <c r="AX323" s="6">
        <v>35</v>
      </c>
      <c r="AY323" s="24">
        <f>IF(Form_Responses1[[#This Row],[ket_cuc]]="Không tử vong", 0, 1)</f>
        <v>0</v>
      </c>
      <c r="AZ323" s="1" t="s">
        <v>24</v>
      </c>
      <c r="BA323" s="32">
        <v>45</v>
      </c>
      <c r="BB323" s="32">
        <v>0.10851501928151981</v>
      </c>
    </row>
    <row r="324" spans="1:54" ht="13" x14ac:dyDescent="0.15">
      <c r="A324" s="2" t="s">
        <v>85</v>
      </c>
      <c r="B324" s="15">
        <v>74</v>
      </c>
      <c r="C324" s="15">
        <f>IF(Form_Responses1[[#This Row],[gioi_tinh]]="Nữ", 0, 1)</f>
        <v>0</v>
      </c>
      <c r="D324" s="2" t="s">
        <v>20</v>
      </c>
      <c r="E324" s="15">
        <v>18</v>
      </c>
      <c r="F324" s="15">
        <f>IF(Form_Responses1[[#This Row],[dai_thao_duong]]="Không", 0, 1)</f>
        <v>0</v>
      </c>
      <c r="G324" s="2" t="s">
        <v>21</v>
      </c>
      <c r="H324" s="15">
        <f t="shared" si="10"/>
        <v>1</v>
      </c>
      <c r="I324" s="2" t="s">
        <v>22</v>
      </c>
      <c r="J324" s="15">
        <f>IF(Form_Responses1[[#This Row],[hoi_chung_vanh_man]]="Không", 0, 1)</f>
        <v>0</v>
      </c>
      <c r="K324" s="2" t="s">
        <v>21</v>
      </c>
      <c r="L324" s="15">
        <f>IF(Form_Responses1[[#This Row],[ckd]]="Không", 0, 1)</f>
        <v>0</v>
      </c>
      <c r="M324" s="2" t="s">
        <v>21</v>
      </c>
      <c r="N324" s="15">
        <f t="shared" si="11"/>
        <v>0</v>
      </c>
      <c r="O324" s="2" t="s">
        <v>21</v>
      </c>
      <c r="P324" s="15">
        <f>IF(Form_Responses1[[#This Row],[phan_loai_the_lam_sang]]="Suy tim mất bù cấp", 1,0)</f>
        <v>0</v>
      </c>
      <c r="Q324" s="15">
        <f>IF(Form_Responses1[[#This Row],[phan_loai_the_lam_sang]]="Phù phổi cấp", 1, 0)</f>
        <v>0</v>
      </c>
      <c r="R324" s="15">
        <f>IF(Form_Responses1[[#This Row],[phan_loai_the_lam_sang]]="Choáng tim", 1, 0)</f>
        <v>1</v>
      </c>
      <c r="S324" s="2" t="s">
        <v>28</v>
      </c>
      <c r="T324" s="15">
        <v>145</v>
      </c>
      <c r="U324" s="18">
        <v>50</v>
      </c>
      <c r="V324" s="18">
        <v>30</v>
      </c>
      <c r="W324" s="18">
        <f>IF(Form_Responses1[[#This Row],[hcvc]]="Không", 0, 1)</f>
        <v>0</v>
      </c>
      <c r="X324" s="2" t="s">
        <v>21</v>
      </c>
      <c r="Y324" s="15">
        <f>IF(Form_Responses1[[#This Row],[suy_ho_hap]]="Không", 0, 1)</f>
        <v>1</v>
      </c>
      <c r="Z324" s="2" t="s">
        <v>22</v>
      </c>
      <c r="AA324" s="15">
        <f>IF(Form_Responses1[[#This Row],[rung_nhi]]="Không", 0, 1)</f>
        <v>0</v>
      </c>
      <c r="AB324" s="2" t="s">
        <v>21</v>
      </c>
      <c r="AC324" s="15">
        <v>506</v>
      </c>
      <c r="AD324" s="15">
        <v>0.14000000000000001</v>
      </c>
      <c r="AE324" s="15">
        <v>10.220000000000001</v>
      </c>
      <c r="AF324" s="15">
        <v>129</v>
      </c>
      <c r="AG324" s="15">
        <v>305</v>
      </c>
      <c r="AH324" s="15">
        <v>128</v>
      </c>
      <c r="AI324" s="15">
        <v>3.5</v>
      </c>
      <c r="AJ324" s="15">
        <v>16</v>
      </c>
      <c r="AK324" s="15">
        <v>1.21</v>
      </c>
      <c r="AL324" s="2" t="s">
        <v>22</v>
      </c>
      <c r="AM324" s="12"/>
      <c r="AN324" s="6">
        <f>IF(Form_Responses1[[#This Row],[NT_proBNP &gt; 35000]]="Có", 35001, Form_Responses1[[#This Row],[NT_ProBNP]])</f>
        <v>35001</v>
      </c>
      <c r="AO324" s="18">
        <f>IF(Form_Responses1[[#This Row],[NT_proBNP &gt; 35000]]="Có", 1, 0)</f>
        <v>1</v>
      </c>
      <c r="AP324" s="15">
        <v>1638.8</v>
      </c>
      <c r="AQ324" s="15">
        <v>79</v>
      </c>
      <c r="AR324" s="15">
        <v>52</v>
      </c>
      <c r="AS324" s="15">
        <v>199</v>
      </c>
      <c r="AT324" s="15">
        <v>26.7</v>
      </c>
      <c r="AU324" s="15">
        <v>54</v>
      </c>
      <c r="AV324" s="15">
        <v>59.2</v>
      </c>
      <c r="AW324" s="15">
        <v>16</v>
      </c>
      <c r="AX324" s="15">
        <v>25</v>
      </c>
      <c r="AY324" s="22">
        <f>IF(Form_Responses1[[#This Row],[ket_cuc]]="Không tử vong", 0, 1)</f>
        <v>1</v>
      </c>
      <c r="AZ324" s="2" t="s">
        <v>29</v>
      </c>
      <c r="BA324" s="32">
        <v>62</v>
      </c>
      <c r="BB324" s="32">
        <v>0.28371660936610094</v>
      </c>
    </row>
    <row r="325" spans="1:54" ht="13" x14ac:dyDescent="0.15">
      <c r="A325" s="1" t="s">
        <v>72</v>
      </c>
      <c r="B325" s="6">
        <v>60</v>
      </c>
      <c r="C325" s="6">
        <f>IF(Form_Responses1[[#This Row],[gioi_tinh]]="Nữ", 0, 1)</f>
        <v>1</v>
      </c>
      <c r="D325" s="1" t="s">
        <v>26</v>
      </c>
      <c r="E325" s="6">
        <v>20.6</v>
      </c>
      <c r="F325" s="6">
        <f>IF(Form_Responses1[[#This Row],[dai_thao_duong]]="Không", 0, 1)</f>
        <v>0</v>
      </c>
      <c r="G325" s="1" t="s">
        <v>21</v>
      </c>
      <c r="H325" s="6">
        <f t="shared" si="10"/>
        <v>1</v>
      </c>
      <c r="I325" s="1" t="s">
        <v>22</v>
      </c>
      <c r="J325" s="6">
        <f>IF(Form_Responses1[[#This Row],[hoi_chung_vanh_man]]="Không", 0, 1)</f>
        <v>0</v>
      </c>
      <c r="K325" s="1" t="s">
        <v>21</v>
      </c>
      <c r="L325" s="6">
        <f>IF(Form_Responses1[[#This Row],[ckd]]="Không", 0, 1)</f>
        <v>0</v>
      </c>
      <c r="M325" s="1" t="s">
        <v>21</v>
      </c>
      <c r="N325" s="6">
        <f t="shared" si="11"/>
        <v>0</v>
      </c>
      <c r="O325" s="1" t="s">
        <v>21</v>
      </c>
      <c r="P325" s="6">
        <f>IF(Form_Responses1[[#This Row],[phan_loai_the_lam_sang]]="Suy tim mất bù cấp", 1,0)</f>
        <v>0</v>
      </c>
      <c r="Q325" s="6">
        <f>IF(Form_Responses1[[#This Row],[phan_loai_the_lam_sang]]="Phù phổi cấp", 1, 0)</f>
        <v>0</v>
      </c>
      <c r="R325" s="6">
        <f>IF(Form_Responses1[[#This Row],[phan_loai_the_lam_sang]]="Choáng tim", 1, 0)</f>
        <v>1</v>
      </c>
      <c r="S325" s="1" t="s">
        <v>28</v>
      </c>
      <c r="T325" s="6">
        <v>90</v>
      </c>
      <c r="U325" s="6">
        <v>60</v>
      </c>
      <c r="V325" s="6">
        <v>30</v>
      </c>
      <c r="W325" s="6">
        <f>IF(Form_Responses1[[#This Row],[hcvc]]="Không", 0, 1)</f>
        <v>1</v>
      </c>
      <c r="X325" s="1" t="s">
        <v>22</v>
      </c>
      <c r="Y325" s="6">
        <f>IF(Form_Responses1[[#This Row],[suy_ho_hap]]="Không", 0, 1)</f>
        <v>1</v>
      </c>
      <c r="Z325" s="1" t="s">
        <v>22</v>
      </c>
      <c r="AA325" s="6">
        <f>IF(Form_Responses1[[#This Row],[rung_nhi]]="Không", 0, 1)</f>
        <v>0</v>
      </c>
      <c r="AB325" s="1" t="s">
        <v>21</v>
      </c>
      <c r="AC325" s="6">
        <v>388</v>
      </c>
      <c r="AD325" s="6">
        <v>0.06</v>
      </c>
      <c r="AE325" s="6">
        <v>28.1</v>
      </c>
      <c r="AF325" s="6">
        <v>120</v>
      </c>
      <c r="AG325" s="6">
        <v>398</v>
      </c>
      <c r="AH325" s="6">
        <v>133</v>
      </c>
      <c r="AI325" s="6">
        <v>3.5</v>
      </c>
      <c r="AJ325" s="6">
        <v>33</v>
      </c>
      <c r="AK325" s="6">
        <v>1.17</v>
      </c>
      <c r="AL325" s="1" t="s">
        <v>21</v>
      </c>
      <c r="AM325" s="28">
        <v>11734</v>
      </c>
      <c r="AN325" s="6">
        <f>IF(Form_Responses1[[#This Row],[NT_proBNP &gt; 35000]]="Có", 35001, Form_Responses1[[#This Row],[NT_ProBNP]])</f>
        <v>11734</v>
      </c>
      <c r="AO325" s="27">
        <f>IF(Form_Responses1[[#This Row],[NT_proBNP &gt; 35000]]="Có", 1, 0)</f>
        <v>0</v>
      </c>
      <c r="AP325" s="6">
        <v>3179.45</v>
      </c>
      <c r="AQ325" s="6">
        <v>23</v>
      </c>
      <c r="AR325" s="6">
        <v>30</v>
      </c>
      <c r="AS325" s="6">
        <v>265</v>
      </c>
      <c r="AT325" s="6">
        <v>37.6</v>
      </c>
      <c r="AU325" s="6">
        <v>48.3</v>
      </c>
      <c r="AV325" s="6">
        <v>56.6</v>
      </c>
      <c r="AW325" s="6">
        <v>16</v>
      </c>
      <c r="AX325" s="6">
        <v>35</v>
      </c>
      <c r="AY325" s="24">
        <f>IF(Form_Responses1[[#This Row],[ket_cuc]]="Không tử vong", 0, 1)</f>
        <v>0</v>
      </c>
      <c r="AZ325" s="1" t="s">
        <v>24</v>
      </c>
      <c r="BA325" s="32">
        <v>56</v>
      </c>
      <c r="BB325" s="32">
        <v>0.15585476225817749</v>
      </c>
    </row>
    <row r="326" spans="1:54" ht="13" x14ac:dyDescent="0.15">
      <c r="A326" s="2" t="s">
        <v>154</v>
      </c>
      <c r="B326" s="15">
        <v>71</v>
      </c>
      <c r="C326" s="15">
        <f>IF(Form_Responses1[[#This Row],[gioi_tinh]]="Nữ", 0, 1)</f>
        <v>1</v>
      </c>
      <c r="D326" s="2" t="s">
        <v>26</v>
      </c>
      <c r="E326" s="15">
        <v>19.8</v>
      </c>
      <c r="F326" s="15">
        <f>IF(Form_Responses1[[#This Row],[dai_thao_duong]]="Không", 0, 1)</f>
        <v>0</v>
      </c>
      <c r="G326" s="2" t="s">
        <v>21</v>
      </c>
      <c r="H326" s="15">
        <f t="shared" si="10"/>
        <v>1</v>
      </c>
      <c r="I326" s="2" t="s">
        <v>22</v>
      </c>
      <c r="J326" s="15">
        <f>IF(Form_Responses1[[#This Row],[hoi_chung_vanh_man]]="Không", 0, 1)</f>
        <v>0</v>
      </c>
      <c r="K326" s="2" t="s">
        <v>21</v>
      </c>
      <c r="L326" s="15">
        <f>IF(Form_Responses1[[#This Row],[ckd]]="Không", 0, 1)</f>
        <v>0</v>
      </c>
      <c r="M326" s="2" t="s">
        <v>21</v>
      </c>
      <c r="N326" s="15">
        <f t="shared" si="11"/>
        <v>0</v>
      </c>
      <c r="O326" s="2" t="s">
        <v>21</v>
      </c>
      <c r="P326" s="15">
        <f>IF(Form_Responses1[[#This Row],[phan_loai_the_lam_sang]]="Suy tim mất bù cấp", 1,0)</f>
        <v>0</v>
      </c>
      <c r="Q326" s="15">
        <f>IF(Form_Responses1[[#This Row],[phan_loai_the_lam_sang]]="Phù phổi cấp", 1, 0)</f>
        <v>1</v>
      </c>
      <c r="R326" s="15">
        <f>IF(Form_Responses1[[#This Row],[phan_loai_the_lam_sang]]="Choáng tim", 1, 0)</f>
        <v>0</v>
      </c>
      <c r="S326" s="2" t="s">
        <v>45</v>
      </c>
      <c r="T326" s="15">
        <v>140</v>
      </c>
      <c r="U326" s="15">
        <v>140</v>
      </c>
      <c r="V326" s="15">
        <v>80</v>
      </c>
      <c r="W326" s="15">
        <f>IF(Form_Responses1[[#This Row],[hcvc]]="Không", 0, 1)</f>
        <v>1</v>
      </c>
      <c r="X326" s="2" t="s">
        <v>22</v>
      </c>
      <c r="Y326" s="15">
        <f>IF(Form_Responses1[[#This Row],[suy_ho_hap]]="Không", 0, 1)</f>
        <v>1</v>
      </c>
      <c r="Z326" s="2" t="s">
        <v>22</v>
      </c>
      <c r="AA326" s="15">
        <f>IF(Form_Responses1[[#This Row],[rung_nhi]]="Không", 0, 1)</f>
        <v>0</v>
      </c>
      <c r="AB326" s="2" t="s">
        <v>21</v>
      </c>
      <c r="AC326" s="15">
        <v>422</v>
      </c>
      <c r="AD326" s="15">
        <v>7.0000000000000007E-2</v>
      </c>
      <c r="AE326" s="15">
        <v>142</v>
      </c>
      <c r="AF326" s="15">
        <v>11.39</v>
      </c>
      <c r="AG326" s="15">
        <v>175</v>
      </c>
      <c r="AH326" s="15">
        <v>136</v>
      </c>
      <c r="AI326" s="15">
        <v>4</v>
      </c>
      <c r="AJ326" s="15">
        <v>26</v>
      </c>
      <c r="AK326" s="15">
        <v>0.91</v>
      </c>
      <c r="AL326" s="2" t="s">
        <v>22</v>
      </c>
      <c r="AM326" s="12"/>
      <c r="AN326" s="6">
        <f>IF(Form_Responses1[[#This Row],[NT_proBNP &gt; 35000]]="Có", 35001, Form_Responses1[[#This Row],[NT_ProBNP]])</f>
        <v>35001</v>
      </c>
      <c r="AO326" s="18">
        <f>IF(Form_Responses1[[#This Row],[NT_proBNP &gt; 35000]]="Có", 1, 0)</f>
        <v>1</v>
      </c>
      <c r="AP326" s="15">
        <v>5834.8</v>
      </c>
      <c r="AQ326" s="15">
        <v>55</v>
      </c>
      <c r="AR326" s="15">
        <v>28</v>
      </c>
      <c r="AS326" s="15">
        <v>137</v>
      </c>
      <c r="AT326" s="18"/>
      <c r="AU326" s="15">
        <v>48.3</v>
      </c>
      <c r="AV326" s="15">
        <v>54.3</v>
      </c>
      <c r="AW326" s="15">
        <v>15</v>
      </c>
      <c r="AY326" s="25">
        <f>IF(Form_Responses1[[#This Row],[ket_cuc]]="Không tử vong", 0, 1)</f>
        <v>0</v>
      </c>
      <c r="AZ326" s="2" t="s">
        <v>24</v>
      </c>
      <c r="BA326" s="32">
        <v>45</v>
      </c>
      <c r="BB326" s="32">
        <v>0.1387154768843892</v>
      </c>
    </row>
    <row r="327" spans="1:54" ht="13" x14ac:dyDescent="0.15">
      <c r="A327" s="1" t="s">
        <v>260</v>
      </c>
      <c r="B327" s="6">
        <v>30</v>
      </c>
      <c r="C327" s="6">
        <f>IF(Form_Responses1[[#This Row],[gioi_tinh]]="Nữ", 0, 1)</f>
        <v>1</v>
      </c>
      <c r="D327" s="1" t="s">
        <v>26</v>
      </c>
      <c r="E327" s="6">
        <v>23.8</v>
      </c>
      <c r="F327" s="6">
        <f>IF(Form_Responses1[[#This Row],[dai_thao_duong]]="Không", 0, 1)</f>
        <v>0</v>
      </c>
      <c r="G327" s="1" t="s">
        <v>21</v>
      </c>
      <c r="H327" s="6">
        <f t="shared" si="10"/>
        <v>0</v>
      </c>
      <c r="I327" s="1" t="s">
        <v>21</v>
      </c>
      <c r="J327" s="6">
        <f>IF(Form_Responses1[[#This Row],[hoi_chung_vanh_man]]="Không", 0, 1)</f>
        <v>0</v>
      </c>
      <c r="K327" s="1" t="s">
        <v>21</v>
      </c>
      <c r="L327" s="6">
        <f>IF(Form_Responses1[[#This Row],[ckd]]="Không", 0, 1)</f>
        <v>0</v>
      </c>
      <c r="M327" s="1" t="s">
        <v>21</v>
      </c>
      <c r="N327" s="6">
        <f t="shared" si="11"/>
        <v>0</v>
      </c>
      <c r="O327" s="1" t="s">
        <v>21</v>
      </c>
      <c r="P327" s="6">
        <f>IF(Form_Responses1[[#This Row],[phan_loai_the_lam_sang]]="Suy tim mất bù cấp", 1,0)</f>
        <v>0</v>
      </c>
      <c r="Q327" s="6">
        <f>IF(Form_Responses1[[#This Row],[phan_loai_the_lam_sang]]="Phù phổi cấp", 1, 0)</f>
        <v>0</v>
      </c>
      <c r="R327" s="6">
        <f>IF(Form_Responses1[[#This Row],[phan_loai_the_lam_sang]]="Choáng tim", 1, 0)</f>
        <v>1</v>
      </c>
      <c r="S327" s="1" t="s">
        <v>28</v>
      </c>
      <c r="T327" s="6">
        <v>97</v>
      </c>
      <c r="U327" s="6">
        <v>100</v>
      </c>
      <c r="V327" s="6">
        <v>60</v>
      </c>
      <c r="W327" s="6">
        <f>IF(Form_Responses1[[#This Row],[hcvc]]="Không", 0, 1)</f>
        <v>0</v>
      </c>
      <c r="X327" s="1" t="s">
        <v>21</v>
      </c>
      <c r="Y327" s="6">
        <f>IF(Form_Responses1[[#This Row],[suy_ho_hap]]="Không", 0, 1)</f>
        <v>0</v>
      </c>
      <c r="Z327" s="1" t="s">
        <v>21</v>
      </c>
      <c r="AA327" s="6">
        <f>IF(Form_Responses1[[#This Row],[rung_nhi]]="Không", 0, 1)</f>
        <v>0</v>
      </c>
      <c r="AB327" s="1" t="s">
        <v>21</v>
      </c>
      <c r="AC327" s="6">
        <v>413</v>
      </c>
      <c r="AD327" s="6">
        <v>0.09</v>
      </c>
      <c r="AE327" s="6">
        <v>6.9</v>
      </c>
      <c r="AF327" s="6">
        <v>164</v>
      </c>
      <c r="AG327" s="6">
        <v>189</v>
      </c>
      <c r="AH327" s="6">
        <v>132</v>
      </c>
      <c r="AI327" s="6">
        <v>4.0999999999999996</v>
      </c>
      <c r="AJ327" s="6">
        <v>9</v>
      </c>
      <c r="AK327" s="6">
        <v>0.78</v>
      </c>
      <c r="AL327" s="1" t="s">
        <v>21</v>
      </c>
      <c r="AM327" s="1">
        <v>3791.74</v>
      </c>
      <c r="AN327" s="6">
        <f>IF(Form_Responses1[[#This Row],[NT_proBNP &gt; 35000]]="Có", 35001, Form_Responses1[[#This Row],[NT_ProBNP]])</f>
        <v>3791.74</v>
      </c>
      <c r="AO327" s="6">
        <f>IF(Form_Responses1[[#This Row],[NT_proBNP &gt; 35000]]="Có", 1, 0)</f>
        <v>0</v>
      </c>
      <c r="AP327" s="6">
        <v>30.71</v>
      </c>
      <c r="AQ327" s="6">
        <v>48</v>
      </c>
      <c r="AR327" s="6">
        <v>24</v>
      </c>
      <c r="AS327" s="6">
        <v>84</v>
      </c>
      <c r="AT327" s="6">
        <v>39</v>
      </c>
      <c r="AU327" s="6">
        <v>70</v>
      </c>
      <c r="AV327" s="6">
        <v>75</v>
      </c>
      <c r="AW327" s="6">
        <v>15</v>
      </c>
      <c r="AX327" s="27">
        <v>50</v>
      </c>
      <c r="AY327" s="29">
        <f>IF(Form_Responses1[[#This Row],[ket_cuc]]="Không tử vong", 0, 1)</f>
        <v>0</v>
      </c>
      <c r="AZ327" s="1" t="s">
        <v>24</v>
      </c>
      <c r="BA327" s="32">
        <v>36</v>
      </c>
      <c r="BB327" s="32">
        <v>2.8017731075366085E-2</v>
      </c>
    </row>
    <row r="328" spans="1:54" ht="13" x14ac:dyDescent="0.15">
      <c r="A328" s="2" t="s">
        <v>57</v>
      </c>
      <c r="B328" s="15">
        <v>63</v>
      </c>
      <c r="C328" s="15">
        <f>IF(Form_Responses1[[#This Row],[gioi_tinh]]="Nữ", 0, 1)</f>
        <v>1</v>
      </c>
      <c r="D328" s="2" t="s">
        <v>26</v>
      </c>
      <c r="E328" s="15">
        <v>23.3</v>
      </c>
      <c r="F328" s="15">
        <f>IF(Form_Responses1[[#This Row],[dai_thao_duong]]="Không", 0, 1)</f>
        <v>0</v>
      </c>
      <c r="G328" s="2" t="s">
        <v>21</v>
      </c>
      <c r="H328" s="15">
        <f t="shared" si="10"/>
        <v>0</v>
      </c>
      <c r="I328" s="2" t="s">
        <v>21</v>
      </c>
      <c r="J328" s="15">
        <f>IF(Form_Responses1[[#This Row],[hoi_chung_vanh_man]]="Không", 0, 1)</f>
        <v>1</v>
      </c>
      <c r="K328" s="2" t="s">
        <v>22</v>
      </c>
      <c r="L328" s="15">
        <f>IF(Form_Responses1[[#This Row],[ckd]]="Không", 0, 1)</f>
        <v>0</v>
      </c>
      <c r="M328" s="2" t="s">
        <v>21</v>
      </c>
      <c r="N328" s="15">
        <f t="shared" si="11"/>
        <v>0</v>
      </c>
      <c r="O328" s="2" t="s">
        <v>21</v>
      </c>
      <c r="P328" s="15">
        <f>IF(Form_Responses1[[#This Row],[phan_loai_the_lam_sang]]="Suy tim mất bù cấp", 1,0)</f>
        <v>1</v>
      </c>
      <c r="Q328" s="15">
        <f>IF(Form_Responses1[[#This Row],[phan_loai_the_lam_sang]]="Phù phổi cấp", 1, 0)</f>
        <v>0</v>
      </c>
      <c r="R328" s="15">
        <f>IF(Form_Responses1[[#This Row],[phan_loai_the_lam_sang]]="Choáng tim", 1, 0)</f>
        <v>0</v>
      </c>
      <c r="S328" s="2" t="s">
        <v>23</v>
      </c>
      <c r="T328" s="15">
        <v>80</v>
      </c>
      <c r="U328" s="15">
        <v>80</v>
      </c>
      <c r="V328" s="15">
        <v>50</v>
      </c>
      <c r="W328" s="15">
        <f>IF(Form_Responses1[[#This Row],[hcvc]]="Không", 0, 1)</f>
        <v>0</v>
      </c>
      <c r="X328" s="2" t="s">
        <v>21</v>
      </c>
      <c r="Y328" s="15">
        <f>IF(Form_Responses1[[#This Row],[suy_ho_hap]]="Không", 0, 1)</f>
        <v>1</v>
      </c>
      <c r="Z328" s="2" t="s">
        <v>22</v>
      </c>
      <c r="AA328" s="15">
        <f>IF(Form_Responses1[[#This Row],[rung_nhi]]="Không", 0, 1)</f>
        <v>0</v>
      </c>
      <c r="AB328" s="2" t="s">
        <v>21</v>
      </c>
      <c r="AC328" s="15">
        <v>450</v>
      </c>
      <c r="AD328" s="15">
        <v>0.12</v>
      </c>
      <c r="AE328" s="15">
        <v>15.76</v>
      </c>
      <c r="AF328" s="15">
        <v>139</v>
      </c>
      <c r="AG328" s="15">
        <v>223</v>
      </c>
      <c r="AH328" s="15">
        <v>129</v>
      </c>
      <c r="AI328" s="15">
        <v>5.2</v>
      </c>
      <c r="AJ328" s="15">
        <v>50</v>
      </c>
      <c r="AK328" s="15">
        <v>1.72</v>
      </c>
      <c r="AL328" s="2" t="s">
        <v>22</v>
      </c>
      <c r="AN328" s="6">
        <f>IF(Form_Responses1[[#This Row],[NT_proBNP &gt; 35000]]="Có", 35001, Form_Responses1[[#This Row],[NT_ProBNP]])</f>
        <v>35001</v>
      </c>
      <c r="AO328" s="5">
        <f>IF(Form_Responses1[[#This Row],[NT_proBNP &gt; 35000]]="Có", 1, 0)</f>
        <v>1</v>
      </c>
      <c r="AP328" s="15">
        <v>64.75</v>
      </c>
      <c r="AQ328" s="15">
        <v>82</v>
      </c>
      <c r="AR328" s="15">
        <v>69</v>
      </c>
      <c r="AS328" s="15">
        <v>149</v>
      </c>
      <c r="AT328" s="27">
        <v>48.6</v>
      </c>
      <c r="AU328" s="15">
        <v>87.6</v>
      </c>
      <c r="AV328" s="15">
        <v>96.5</v>
      </c>
      <c r="AW328" s="15">
        <v>14</v>
      </c>
      <c r="AX328" s="15">
        <v>40</v>
      </c>
      <c r="AY328" s="22">
        <f>IF(Form_Responses1[[#This Row],[ket_cuc]]="Không tử vong", 0, 1)</f>
        <v>0</v>
      </c>
      <c r="AZ328" s="2" t="s">
        <v>24</v>
      </c>
      <c r="BA328" s="32">
        <v>54</v>
      </c>
      <c r="BB328" s="32">
        <v>0.14709117772450739</v>
      </c>
    </row>
    <row r="329" spans="1:54" ht="13" x14ac:dyDescent="0.15">
      <c r="A329" s="1" t="s">
        <v>217</v>
      </c>
      <c r="B329" s="6">
        <v>52</v>
      </c>
      <c r="C329" s="6">
        <f>IF(Form_Responses1[[#This Row],[gioi_tinh]]="Nữ", 0, 1)</f>
        <v>1</v>
      </c>
      <c r="D329" s="1" t="s">
        <v>26</v>
      </c>
      <c r="E329" s="6">
        <v>20.5</v>
      </c>
      <c r="F329" s="6">
        <f>IF(Form_Responses1[[#This Row],[dai_thao_duong]]="Không", 0, 1)</f>
        <v>0</v>
      </c>
      <c r="G329" s="1" t="s">
        <v>21</v>
      </c>
      <c r="H329" s="6">
        <f t="shared" si="10"/>
        <v>1</v>
      </c>
      <c r="I329" s="1" t="s">
        <v>22</v>
      </c>
      <c r="J329" s="6">
        <f>IF(Form_Responses1[[#This Row],[hoi_chung_vanh_man]]="Không", 0, 1)</f>
        <v>0</v>
      </c>
      <c r="K329" s="1" t="s">
        <v>21</v>
      </c>
      <c r="L329" s="6">
        <f>IF(Form_Responses1[[#This Row],[ckd]]="Không", 0, 1)</f>
        <v>0</v>
      </c>
      <c r="M329" s="1" t="s">
        <v>21</v>
      </c>
      <c r="N329" s="6">
        <f t="shared" si="11"/>
        <v>0</v>
      </c>
      <c r="O329" s="1" t="s">
        <v>21</v>
      </c>
      <c r="P329" s="6">
        <f>IF(Form_Responses1[[#This Row],[phan_loai_the_lam_sang]]="Suy tim mất bù cấp", 1,0)</f>
        <v>1</v>
      </c>
      <c r="Q329" s="6">
        <f>IF(Form_Responses1[[#This Row],[phan_loai_the_lam_sang]]="Phù phổi cấp", 1, 0)</f>
        <v>0</v>
      </c>
      <c r="R329" s="6">
        <f>IF(Form_Responses1[[#This Row],[phan_loai_the_lam_sang]]="Choáng tim", 1, 0)</f>
        <v>0</v>
      </c>
      <c r="S329" s="1" t="s">
        <v>23</v>
      </c>
      <c r="T329" s="6">
        <v>110</v>
      </c>
      <c r="U329" s="6">
        <v>140</v>
      </c>
      <c r="V329" s="6">
        <v>80</v>
      </c>
      <c r="W329" s="6">
        <f>IF(Form_Responses1[[#This Row],[hcvc]]="Không", 0, 1)</f>
        <v>0</v>
      </c>
      <c r="X329" s="1" t="s">
        <v>21</v>
      </c>
      <c r="Y329" s="6">
        <f>IF(Form_Responses1[[#This Row],[suy_ho_hap]]="Không", 0, 1)</f>
        <v>1</v>
      </c>
      <c r="Z329" s="1" t="s">
        <v>22</v>
      </c>
      <c r="AA329" s="6">
        <f>IF(Form_Responses1[[#This Row],[rung_nhi]]="Không", 0, 1)</f>
        <v>1</v>
      </c>
      <c r="AB329" s="1" t="s">
        <v>22</v>
      </c>
      <c r="AC329" s="6">
        <v>411</v>
      </c>
      <c r="AD329" s="6">
        <v>0.09</v>
      </c>
      <c r="AE329" s="6">
        <v>7.93</v>
      </c>
      <c r="AF329" s="6">
        <v>142</v>
      </c>
      <c r="AG329" s="6">
        <v>213</v>
      </c>
      <c r="AH329" s="6">
        <v>131</v>
      </c>
      <c r="AI329" s="6">
        <v>3.9</v>
      </c>
      <c r="AJ329" s="6">
        <v>25</v>
      </c>
      <c r="AK329" s="6">
        <v>0.92</v>
      </c>
      <c r="AL329" s="1" t="s">
        <v>21</v>
      </c>
      <c r="AM329" s="1">
        <v>27264.97</v>
      </c>
      <c r="AN329" s="6">
        <f>IF(Form_Responses1[[#This Row],[NT_proBNP &gt; 35000]]="Có", 35001, Form_Responses1[[#This Row],[NT_ProBNP]])</f>
        <v>27264.97</v>
      </c>
      <c r="AO329" s="6">
        <f>IF(Form_Responses1[[#This Row],[NT_proBNP &gt; 35000]]="Có", 1, 0)</f>
        <v>0</v>
      </c>
      <c r="AP329" s="6">
        <v>263.7</v>
      </c>
      <c r="AQ329" s="6">
        <v>40</v>
      </c>
      <c r="AR329" s="6">
        <v>23</v>
      </c>
      <c r="AS329" s="27">
        <v>122</v>
      </c>
      <c r="AT329" s="27">
        <v>63</v>
      </c>
      <c r="AU329" s="6">
        <v>65</v>
      </c>
      <c r="AV329" s="6">
        <v>70</v>
      </c>
      <c r="AW329" s="6">
        <v>14</v>
      </c>
      <c r="AX329" s="6">
        <v>80</v>
      </c>
      <c r="AY329" s="24">
        <f>IF(Form_Responses1[[#This Row],[ket_cuc]]="Không tử vong", 0, 1)</f>
        <v>0</v>
      </c>
      <c r="AZ329" s="1" t="s">
        <v>24</v>
      </c>
      <c r="BA329" s="32">
        <v>40</v>
      </c>
      <c r="BB329" s="32">
        <v>5.8008866093403014E-2</v>
      </c>
    </row>
    <row r="330" spans="1:54" ht="13" x14ac:dyDescent="0.15">
      <c r="A330" s="3" t="s">
        <v>293</v>
      </c>
      <c r="B330" s="17">
        <v>58</v>
      </c>
      <c r="C330" s="17">
        <f>IF(Form_Responses1[[#This Row],[gioi_tinh]]="Nữ", 0, 1)</f>
        <v>1</v>
      </c>
      <c r="D330" s="3" t="s">
        <v>26</v>
      </c>
      <c r="E330" s="17">
        <v>25.4</v>
      </c>
      <c r="F330" s="17">
        <f>IF(Form_Responses1[[#This Row],[dai_thao_duong]]="Không", 0, 1)</f>
        <v>1</v>
      </c>
      <c r="G330" s="3" t="s">
        <v>22</v>
      </c>
      <c r="H330" s="17">
        <f t="shared" si="10"/>
        <v>1</v>
      </c>
      <c r="I330" s="3" t="s">
        <v>22</v>
      </c>
      <c r="J330" s="17">
        <f>IF(Form_Responses1[[#This Row],[hoi_chung_vanh_man]]="Không", 0, 1)</f>
        <v>0</v>
      </c>
      <c r="K330" s="3" t="s">
        <v>21</v>
      </c>
      <c r="L330" s="17">
        <f>IF(Form_Responses1[[#This Row],[ckd]]="Không", 0, 1)</f>
        <v>1</v>
      </c>
      <c r="M330" s="3" t="s">
        <v>22</v>
      </c>
      <c r="N330" s="17">
        <f t="shared" si="11"/>
        <v>0</v>
      </c>
      <c r="O330" s="3" t="s">
        <v>21</v>
      </c>
      <c r="P330" s="17">
        <f>IF(Form_Responses1[[#This Row],[phan_loai_the_lam_sang]]="Suy tim mất bù cấp", 1,0)</f>
        <v>0</v>
      </c>
      <c r="Q330" s="17">
        <f>IF(Form_Responses1[[#This Row],[phan_loai_the_lam_sang]]="Phù phổi cấp", 1, 0)</f>
        <v>1</v>
      </c>
      <c r="R330" s="17">
        <f>IF(Form_Responses1[[#This Row],[phan_loai_the_lam_sang]]="Choáng tim", 1, 0)</f>
        <v>0</v>
      </c>
      <c r="S330" s="3" t="s">
        <v>45</v>
      </c>
      <c r="T330" s="17">
        <v>96</v>
      </c>
      <c r="U330" s="17">
        <v>90</v>
      </c>
      <c r="V330" s="17">
        <v>60</v>
      </c>
      <c r="W330" s="17">
        <f>IF(Form_Responses1[[#This Row],[hcvc]]="Không", 0, 1)</f>
        <v>1</v>
      </c>
      <c r="X330" s="3" t="s">
        <v>22</v>
      </c>
      <c r="Y330" s="17">
        <f>IF(Form_Responses1[[#This Row],[suy_ho_hap]]="Không", 0, 1)</f>
        <v>1</v>
      </c>
      <c r="Z330" s="3" t="s">
        <v>22</v>
      </c>
      <c r="AA330" s="17">
        <f>IF(Form_Responses1[[#This Row],[rung_nhi]]="Không", 0, 1)</f>
        <v>0</v>
      </c>
      <c r="AB330" s="3" t="s">
        <v>21</v>
      </c>
      <c r="AC330" s="17">
        <v>499</v>
      </c>
      <c r="AD330" s="17">
        <v>0.1</v>
      </c>
      <c r="AE330" s="17">
        <v>16.059999999999999</v>
      </c>
      <c r="AF330" s="17">
        <v>128</v>
      </c>
      <c r="AG330" s="17">
        <v>262</v>
      </c>
      <c r="AH330" s="17">
        <v>132</v>
      </c>
      <c r="AI330" s="17">
        <v>3.9</v>
      </c>
      <c r="AJ330" s="17">
        <v>30</v>
      </c>
      <c r="AK330" s="17">
        <v>1.97</v>
      </c>
      <c r="AL330" s="3" t="s">
        <v>21</v>
      </c>
      <c r="AM330" s="3">
        <v>21096</v>
      </c>
      <c r="AN330" s="6">
        <f>IF(Form_Responses1[[#This Row],[NT_proBNP &gt; 35000]]="Có", 35001, Form_Responses1[[#This Row],[NT_ProBNP]])</f>
        <v>21096</v>
      </c>
      <c r="AO330" s="17">
        <f>IF(Form_Responses1[[#This Row],[NT_proBNP &gt; 35000]]="Có", 1, 0)</f>
        <v>0</v>
      </c>
      <c r="AP330" s="17">
        <v>66658.7</v>
      </c>
      <c r="AQ330" s="17">
        <v>141</v>
      </c>
      <c r="AR330" s="17">
        <v>49</v>
      </c>
      <c r="AS330" s="17">
        <v>336</v>
      </c>
      <c r="AT330" s="27">
        <v>32.299999999999997</v>
      </c>
      <c r="AU330" s="17">
        <v>44.4</v>
      </c>
      <c r="AV330" s="17">
        <v>48.9</v>
      </c>
      <c r="AW330" s="17">
        <v>14</v>
      </c>
      <c r="AX330" s="27">
        <v>24</v>
      </c>
      <c r="AY330" s="29">
        <f>IF(Form_Responses1[[#This Row],[ket_cuc]]="Không tử vong", 0, 1)</f>
        <v>0</v>
      </c>
      <c r="AZ330" s="3" t="s">
        <v>24</v>
      </c>
      <c r="BA330" s="32">
        <v>49</v>
      </c>
      <c r="BB330" s="32">
        <v>9.0462568156832554E-2</v>
      </c>
    </row>
    <row r="331" spans="1:54" ht="13" x14ac:dyDescent="0.15"/>
  </sheetData>
  <phoneticPr fontId="2" type="noConversion"/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Nhat Huy</cp:lastModifiedBy>
  <dcterms:created xsi:type="dcterms:W3CDTF">2025-07-15T01:50:07Z</dcterms:created>
  <dcterms:modified xsi:type="dcterms:W3CDTF">2025-09-26T03:15:24Z</dcterms:modified>
</cp:coreProperties>
</file>